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showHorizontalScroll="0" windowWidth="28800" windowHeight="12300" firstSheet="1" activeTab="1"/>
  </bookViews>
  <sheets>
    <sheet name="Sheet5" sheetId="7" state="hidden" r:id="rId1"/>
    <sheet name="Function" sheetId="12" r:id="rId2"/>
    <sheet name="Sort" sheetId="13" r:id="rId3"/>
    <sheet name="Replace" sheetId="14" r:id="rId4"/>
    <sheet name="Concatenate" sheetId="15" r:id="rId5"/>
    <sheet name="Sum &amp; Average" sheetId="16" r:id="rId6"/>
    <sheet name="Insert Row &amp; Delete Column" sheetId="17" r:id="rId7"/>
    <sheet name="Trim &amp; Length" sheetId="18" r:id="rId8"/>
    <sheet name="Left &amp; Right" sheetId="19" r:id="rId9"/>
    <sheet name="Count" sheetId="20" r:id="rId10"/>
    <sheet name="Duplicates" sheetId="21" r:id="rId11"/>
  </sheets>
  <definedNames>
    <definedName name="_xlnm._FilterDatabase" localSheetId="1" hidden="1">Function!$A$2:$D$81</definedName>
    <definedName name="_xlnm._FilterDatabase" localSheetId="8" hidden="1">'Left &amp; Right'!$A$2:$A$81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<sst xmlns="http://schemas.openxmlformats.org/spreadsheetml/2006/main" count="745" uniqueCount="311">
  <si>
    <t>Name</t>
  </si>
  <si>
    <t>OFF DAYS</t>
  </si>
  <si>
    <t>DAYS PRESENT</t>
  </si>
  <si>
    <t>LEAVE DAYS</t>
  </si>
  <si>
    <t>TOTAL</t>
  </si>
  <si>
    <t>Abraham</t>
  </si>
  <si>
    <t>P</t>
  </si>
  <si>
    <t>OFF</t>
  </si>
  <si>
    <t>Yeocum</t>
  </si>
  <si>
    <t>L</t>
  </si>
  <si>
    <t>Elias</t>
  </si>
  <si>
    <t>Achilles</t>
  </si>
  <si>
    <t>Zachary</t>
  </si>
  <si>
    <t>Oslande</t>
  </si>
  <si>
    <t>Bennington</t>
  </si>
  <si>
    <t>Cressy</t>
  </si>
  <si>
    <t>Bichard</t>
  </si>
  <si>
    <t>Blase</t>
  </si>
  <si>
    <t>Margetta</t>
  </si>
  <si>
    <t>Apply Count if function and Find the no of OFF days, Present days and Leave days</t>
  </si>
  <si>
    <t>Apply the UPPER, LOWER, and PROPER functions to the data in Column A.</t>
  </si>
  <si>
    <t>Parish</t>
  </si>
  <si>
    <t>Upper Case</t>
  </si>
  <si>
    <t>Lower Case</t>
  </si>
  <si>
    <t>Proper Case</t>
  </si>
  <si>
    <t>Sutton, Surrey</t>
  </si>
  <si>
    <t>Great St Helen, London</t>
  </si>
  <si>
    <t>St Andrew Holborn</t>
  </si>
  <si>
    <t>Wapping, Middlesex</t>
  </si>
  <si>
    <t>Horne, Surrey</t>
  </si>
  <si>
    <t>Hornsoy, Middlesex</t>
  </si>
  <si>
    <t>Godmersham, Kent</t>
  </si>
  <si>
    <t>Heath, Middlesex</t>
  </si>
  <si>
    <t>Aldermanbury, London</t>
  </si>
  <si>
    <t>St Martin In The Fields</t>
  </si>
  <si>
    <t>Eastwood, Essex</t>
  </si>
  <si>
    <t>Bradwell Jaxta Mare, Middlesex</t>
  </si>
  <si>
    <t>Ham Charleton Kings, Gloucester</t>
  </si>
  <si>
    <t>StBotolph Aldersgate</t>
  </si>
  <si>
    <t>St Lawrence, London</t>
  </si>
  <si>
    <t>Lomster Horeford</t>
  </si>
  <si>
    <t>St Martin In The Fields, Middlesex</t>
  </si>
  <si>
    <t>Keire Worcester</t>
  </si>
  <si>
    <t>St Giles In The Fields, Middlesex</t>
  </si>
  <si>
    <t>St Clement Danes</t>
  </si>
  <si>
    <t>Blackdon Devon</t>
  </si>
  <si>
    <t>St Anne Westminster</t>
  </si>
  <si>
    <t>St George Botolph Lane, London</t>
  </si>
  <si>
    <t>Boddington, Surrey</t>
  </si>
  <si>
    <t>Stoake Northampton</t>
  </si>
  <si>
    <t>St Sepulchre, London</t>
  </si>
  <si>
    <t>Ampthill, Beds</t>
  </si>
  <si>
    <t>Lambeth, Surrey</t>
  </si>
  <si>
    <t>St Sepulchre</t>
  </si>
  <si>
    <t>St Swithin, London</t>
  </si>
  <si>
    <t>Stafford</t>
  </si>
  <si>
    <t>StClementdanes</t>
  </si>
  <si>
    <t>Chelsea, Middlesex</t>
  </si>
  <si>
    <t>Boreham, Essex</t>
  </si>
  <si>
    <t>Gadsden, Herts</t>
  </si>
  <si>
    <t>Stenning Sussex</t>
  </si>
  <si>
    <t>St Dunstan In The West</t>
  </si>
  <si>
    <t>Feversham Said County</t>
  </si>
  <si>
    <t>Windsor Berks</t>
  </si>
  <si>
    <t>StDunstan In The West</t>
  </si>
  <si>
    <t>Stanton, Wilts</t>
  </si>
  <si>
    <t>East Grimstead Sussex</t>
  </si>
  <si>
    <t>Canterbury</t>
  </si>
  <si>
    <t>Deale</t>
  </si>
  <si>
    <t>St Bride, London</t>
  </si>
  <si>
    <t>St Edmundthe King Lombard Street, London</t>
  </si>
  <si>
    <t>St Giles Cripplegate</t>
  </si>
  <si>
    <t>Westminster</t>
  </si>
  <si>
    <t>Finchamstead Berks</t>
  </si>
  <si>
    <t>Alford Lincoln</t>
  </si>
  <si>
    <t>Waltham Abbey, Essex</t>
  </si>
  <si>
    <t>Islington, Middlesex</t>
  </si>
  <si>
    <t>St Peter Le Poor</t>
  </si>
  <si>
    <t>St James Clerkenwell</t>
  </si>
  <si>
    <t>Charlwood, Surrey</t>
  </si>
  <si>
    <t>Rusper Sussex</t>
  </si>
  <si>
    <t>Sittingbourne, Kent</t>
  </si>
  <si>
    <t>St Alban Wood Street, London</t>
  </si>
  <si>
    <t>Ickingham, Middlesex</t>
  </si>
  <si>
    <t>St Mary Whitechapel</t>
  </si>
  <si>
    <t>Maiden Lane, London</t>
  </si>
  <si>
    <t>St Catherine Coleman, London</t>
  </si>
  <si>
    <t>Islington</t>
  </si>
  <si>
    <t>St Botolph Billingsgate</t>
  </si>
  <si>
    <t>Nicholas Lane, London</t>
  </si>
  <si>
    <t>Corby Kesteven Lincoln, London</t>
  </si>
  <si>
    <t>Henley On Thames</t>
  </si>
  <si>
    <t>Croydon, Surrey</t>
  </si>
  <si>
    <t>Sort column A in ascending order.</t>
  </si>
  <si>
    <t>Aaron</t>
  </si>
  <si>
    <t>Abdiel</t>
  </si>
  <si>
    <t>Abel</t>
  </si>
  <si>
    <t>Abjohn</t>
  </si>
  <si>
    <t>Abner</t>
  </si>
  <si>
    <t>Adam</t>
  </si>
  <si>
    <t>Beningfield</t>
  </si>
  <si>
    <t>Benjamin</t>
  </si>
  <si>
    <t>Bennet</t>
  </si>
  <si>
    <t>Bennett</t>
  </si>
  <si>
    <t>Benson</t>
  </si>
  <si>
    <t>Berkley</t>
  </si>
  <si>
    <t>Bernard</t>
  </si>
  <si>
    <t>Bevis</t>
  </si>
  <si>
    <t>Bezaleel</t>
  </si>
  <si>
    <t>Bobert</t>
  </si>
  <si>
    <t>Constantine</t>
  </si>
  <si>
    <t>Cornelius</t>
  </si>
  <si>
    <t>Cresswell</t>
  </si>
  <si>
    <t>Creswell</t>
  </si>
  <si>
    <t>Crofts</t>
  </si>
  <si>
    <t>Curwen</t>
  </si>
  <si>
    <t>Cuthbert</t>
  </si>
  <si>
    <t>Cyrell</t>
  </si>
  <si>
    <t>Cyriac</t>
  </si>
  <si>
    <t>Demetrius</t>
  </si>
  <si>
    <t>Denis</t>
  </si>
  <si>
    <t>Dennis</t>
  </si>
  <si>
    <t>Dionisious</t>
  </si>
  <si>
    <t>Dionysius</t>
  </si>
  <si>
    <t>Edward</t>
  </si>
  <si>
    <t>Edwin</t>
  </si>
  <si>
    <t>Eliceum</t>
  </si>
  <si>
    <t>Elkanah</t>
  </si>
  <si>
    <t>Ellionem</t>
  </si>
  <si>
    <t>Frame</t>
  </si>
  <si>
    <t>Gabriel</t>
  </si>
  <si>
    <t>Hamnett</t>
  </si>
  <si>
    <t>Herbert</t>
  </si>
  <si>
    <t>James</t>
  </si>
  <si>
    <t>Jemmett</t>
  </si>
  <si>
    <t>Jolles</t>
  </si>
  <si>
    <t>Keate</t>
  </si>
  <si>
    <t>Keightley</t>
  </si>
  <si>
    <t>Lambarte</t>
  </si>
  <si>
    <t>Langstone</t>
  </si>
  <si>
    <t>Lestrange</t>
  </si>
  <si>
    <t>Maplesden</t>
  </si>
  <si>
    <t>Newcomb</t>
  </si>
  <si>
    <t>Newstead</t>
  </si>
  <si>
    <t>Orby</t>
  </si>
  <si>
    <t>Paramor</t>
  </si>
  <si>
    <t>Paslowe</t>
  </si>
  <si>
    <t>Petit</t>
  </si>
  <si>
    <t>Phanuel</t>
  </si>
  <si>
    <t>Rae</t>
  </si>
  <si>
    <t>Randol</t>
  </si>
  <si>
    <t>Ratsey</t>
  </si>
  <si>
    <t>Sadeskewe</t>
  </si>
  <si>
    <t>Saile</t>
  </si>
  <si>
    <t>Sheapheard</t>
  </si>
  <si>
    <t>Stanyan</t>
  </si>
  <si>
    <t>Swynborne</t>
  </si>
  <si>
    <t>Talbott</t>
  </si>
  <si>
    <t>Thornbury</t>
  </si>
  <si>
    <t>Vincentius</t>
  </si>
  <si>
    <t>Warren</t>
  </si>
  <si>
    <t>Worley</t>
  </si>
  <si>
    <t>Replace 'Gentleman' with 'Doctor' in column A.</t>
  </si>
  <si>
    <t>Designation</t>
  </si>
  <si>
    <t>Citizen &amp; Fishmonger</t>
  </si>
  <si>
    <t>Citizen &amp; Grocer</t>
  </si>
  <si>
    <t>Citizen, Embroyderer</t>
  </si>
  <si>
    <t>Clerk</t>
  </si>
  <si>
    <t>D.D</t>
  </si>
  <si>
    <t>Draper</t>
  </si>
  <si>
    <t>Esquire</t>
  </si>
  <si>
    <t>Doctor</t>
  </si>
  <si>
    <t>Goldsmith</t>
  </si>
  <si>
    <t>London</t>
  </si>
  <si>
    <t>Merchant</t>
  </si>
  <si>
    <t>Rector</t>
  </si>
  <si>
    <t>Woodmonger</t>
  </si>
  <si>
    <t>Yeoman</t>
  </si>
  <si>
    <t>Concatenate columns A and B into column C.</t>
  </si>
  <si>
    <t>Name &amp; Parish</t>
  </si>
  <si>
    <t xml:space="preserve"> &amp; Sutton, Surrey</t>
  </si>
  <si>
    <t xml:space="preserve"> &amp; Great St Helen, London</t>
  </si>
  <si>
    <t xml:space="preserve"> &amp; St Andrew Holborn</t>
  </si>
  <si>
    <t xml:space="preserve"> &amp; Wapping, Middlesex</t>
  </si>
  <si>
    <t xml:space="preserve"> &amp; Horne, Surrey</t>
  </si>
  <si>
    <t xml:space="preserve"> &amp; Hornsoy, Middlesex</t>
  </si>
  <si>
    <t xml:space="preserve"> &amp; Godmersham, Kent</t>
  </si>
  <si>
    <t xml:space="preserve"> &amp; Heath, Middlesex</t>
  </si>
  <si>
    <t xml:space="preserve"> &amp; Aldermanbury, London</t>
  </si>
  <si>
    <t xml:space="preserve"> &amp; St Martin In The Fields</t>
  </si>
  <si>
    <t xml:space="preserve"> &amp; Eastwood, Essex</t>
  </si>
  <si>
    <t xml:space="preserve"> &amp; Bradwell Jaxta Mare, Middlesex</t>
  </si>
  <si>
    <t xml:space="preserve"> &amp; Ham Charleton Kings, Gloucester</t>
  </si>
  <si>
    <t xml:space="preserve"> &amp; Stbotolph Aldersgate</t>
  </si>
  <si>
    <t xml:space="preserve"> &amp; St Lawrence, London</t>
  </si>
  <si>
    <t xml:space="preserve"> &amp; Lomster Horeford</t>
  </si>
  <si>
    <t xml:space="preserve"> &amp; St Martin In The Fields, Middlesex</t>
  </si>
  <si>
    <t xml:space="preserve"> &amp; Keire Worcester</t>
  </si>
  <si>
    <t xml:space="preserve"> &amp; St Giles In The Fields, Middlesex</t>
  </si>
  <si>
    <t xml:space="preserve"> &amp; St Clement Danes</t>
  </si>
  <si>
    <t xml:space="preserve"> &amp; Blackdon Devon</t>
  </si>
  <si>
    <t xml:space="preserve"> &amp; St Anne Westminster</t>
  </si>
  <si>
    <t xml:space="preserve"> &amp; St George Botolph Lane, London</t>
  </si>
  <si>
    <t xml:space="preserve"> &amp; Boddington, Surrey</t>
  </si>
  <si>
    <t xml:space="preserve"> &amp; Stoake Northampton</t>
  </si>
  <si>
    <t xml:space="preserve"> &amp; St Sepulchre, London</t>
  </si>
  <si>
    <t xml:space="preserve"> &amp; Ampthill, Beds</t>
  </si>
  <si>
    <t xml:space="preserve"> &amp; Lambeth, Surrey</t>
  </si>
  <si>
    <t xml:space="preserve"> &amp; St Sepulchre</t>
  </si>
  <si>
    <t xml:space="preserve"> &amp; St Swithin, London</t>
  </si>
  <si>
    <t xml:space="preserve"> &amp; Stafford</t>
  </si>
  <si>
    <t xml:space="preserve"> &amp; Stclementdanes</t>
  </si>
  <si>
    <t xml:space="preserve"> &amp; Chelsea, Middlesex</t>
  </si>
  <si>
    <t xml:space="preserve"> &amp; Boreham, Essex</t>
  </si>
  <si>
    <t xml:space="preserve"> &amp; Gadsden, Herts</t>
  </si>
  <si>
    <t xml:space="preserve"> &amp; Stenning Sussex</t>
  </si>
  <si>
    <t xml:space="preserve"> &amp; St Dunstan In The West</t>
  </si>
  <si>
    <t xml:space="preserve"> &amp; Feversham Said County</t>
  </si>
  <si>
    <t xml:space="preserve"> &amp; Windsor Berks</t>
  </si>
  <si>
    <t xml:space="preserve"> &amp; Stdunstan In The West</t>
  </si>
  <si>
    <t xml:space="preserve"> &amp; Stanton, Wilts</t>
  </si>
  <si>
    <t xml:space="preserve"> &amp; East Grimstead Sussex</t>
  </si>
  <si>
    <t xml:space="preserve"> &amp; Canterbury</t>
  </si>
  <si>
    <t xml:space="preserve"> &amp; Deale</t>
  </si>
  <si>
    <t xml:space="preserve"> &amp; St Bride, London</t>
  </si>
  <si>
    <t xml:space="preserve"> &amp; St Edmundthe King Lombard Street, London</t>
  </si>
  <si>
    <t xml:space="preserve"> &amp; St Giles Cripplegate</t>
  </si>
  <si>
    <t xml:space="preserve"> &amp; Westminster</t>
  </si>
  <si>
    <t xml:space="preserve"> &amp; Finchamstead Berks</t>
  </si>
  <si>
    <t xml:space="preserve"> &amp; Alford Lincoln</t>
  </si>
  <si>
    <t xml:space="preserve"> &amp; Waltham Abbey, Essex</t>
  </si>
  <si>
    <t xml:space="preserve"> &amp; Islington, Middlesex</t>
  </si>
  <si>
    <t xml:space="preserve"> &amp; St Peter Le Poor</t>
  </si>
  <si>
    <t xml:space="preserve"> &amp; St James Clerkenwell</t>
  </si>
  <si>
    <t xml:space="preserve"> &amp; Charlwood, Surrey</t>
  </si>
  <si>
    <t xml:space="preserve"> &amp; Rusper Sussex</t>
  </si>
  <si>
    <t xml:space="preserve"> &amp; Sittingbourne, Kent</t>
  </si>
  <si>
    <t xml:space="preserve"> &amp; St Alban Wood Street, London</t>
  </si>
  <si>
    <t xml:space="preserve"> &amp; Ickingham, Middlesex</t>
  </si>
  <si>
    <t xml:space="preserve"> &amp; St Mary Whitechapel</t>
  </si>
  <si>
    <t xml:space="preserve"> &amp; Maiden Lane, London</t>
  </si>
  <si>
    <t xml:space="preserve"> &amp; St Catherine Coleman, London</t>
  </si>
  <si>
    <t xml:space="preserve"> &amp; Islington</t>
  </si>
  <si>
    <t xml:space="preserve"> &amp; St Botolph Billingsgate</t>
  </si>
  <si>
    <t xml:space="preserve"> &amp; Nicholas Lane, London</t>
  </si>
  <si>
    <t xml:space="preserve"> &amp; Corby Kesteven Lincoln, London</t>
  </si>
  <si>
    <t xml:space="preserve"> &amp; Henley On Thames</t>
  </si>
  <si>
    <t xml:space="preserve"> &amp; Croydon, Surrey</t>
  </si>
  <si>
    <t>Calculate the Sum, Average, Maximum, and Minimum values of column A in cells B3, C3, D3, and E3 respectively.</t>
  </si>
  <si>
    <t>Salary</t>
  </si>
  <si>
    <t>Sum</t>
  </si>
  <si>
    <t>Average</t>
  </si>
  <si>
    <t>Max</t>
  </si>
  <si>
    <t>Min</t>
  </si>
  <si>
    <t>Insert one row above Row 9, enter the data 'Joseph, 26, Doctor', and delete Column D.</t>
  </si>
  <si>
    <t>Age</t>
  </si>
  <si>
    <t>27</t>
  </si>
  <si>
    <t>50</t>
  </si>
  <si>
    <t>24</t>
  </si>
  <si>
    <t>30</t>
  </si>
  <si>
    <t>Joseph</t>
  </si>
  <si>
    <t>25</t>
  </si>
  <si>
    <t>45</t>
  </si>
  <si>
    <t>28</t>
  </si>
  <si>
    <t>Trim the text in column A, place the trimmed results in column B, and calculate Column B lengths in column C.</t>
  </si>
  <si>
    <t>Trim</t>
  </si>
  <si>
    <t>Length</t>
  </si>
  <si>
    <t xml:space="preserve">Sutton, Surrey </t>
  </si>
  <si>
    <t xml:space="preserve">Great St Helen, London </t>
  </si>
  <si>
    <t xml:space="preserve">St Andrew Holborn </t>
  </si>
  <si>
    <t xml:space="preserve">Wapping, Middlesex </t>
  </si>
  <si>
    <t xml:space="preserve">Horne, Surrey </t>
  </si>
  <si>
    <t xml:space="preserve">Hornsoy, Middlesex </t>
  </si>
  <si>
    <t xml:space="preserve">Godmersham, Kent </t>
  </si>
  <si>
    <t xml:space="preserve">Heath, Middlesex </t>
  </si>
  <si>
    <t xml:space="preserve">Aldermanbury, London </t>
  </si>
  <si>
    <t xml:space="preserve">Eastwood, Essex </t>
  </si>
  <si>
    <t xml:space="preserve">Bradwell Jaxta Mare, Middlesex </t>
  </si>
  <si>
    <t xml:space="preserve">Ham Charleton Kings, Gloucester </t>
  </si>
  <si>
    <t xml:space="preserve">St Lawrence, London </t>
  </si>
  <si>
    <t xml:space="preserve">St Martin In The Fields, Middlesex </t>
  </si>
  <si>
    <t xml:space="preserve">St Giles In The Fields, Middlesex </t>
  </si>
  <si>
    <t xml:space="preserve">St George Botolph Lane, London </t>
  </si>
  <si>
    <t xml:space="preserve">Boddington, Surrey </t>
  </si>
  <si>
    <t xml:space="preserve">St Sepulchre, London </t>
  </si>
  <si>
    <t xml:space="preserve">Ampthill, Beds </t>
  </si>
  <si>
    <t xml:space="preserve">Lambeth, Surrey </t>
  </si>
  <si>
    <t xml:space="preserve">St Swithin, London </t>
  </si>
  <si>
    <t xml:space="preserve">Chelsea, Middlesex </t>
  </si>
  <si>
    <t xml:space="preserve">Boreham, Essex </t>
  </si>
  <si>
    <t xml:space="preserve">Gadsden, Herts </t>
  </si>
  <si>
    <t xml:space="preserve">St Bride, London </t>
  </si>
  <si>
    <t xml:space="preserve">St Edmundthe King Lombard Street, London </t>
  </si>
  <si>
    <t xml:space="preserve">Waltham Abbey, Essex </t>
  </si>
  <si>
    <t xml:space="preserve">Islington, Middlesex </t>
  </si>
  <si>
    <t xml:space="preserve">Charlwood, Surrey </t>
  </si>
  <si>
    <t xml:space="preserve">Sittingbourne, Kent </t>
  </si>
  <si>
    <t xml:space="preserve">St Alban Wood Street, London </t>
  </si>
  <si>
    <t xml:space="preserve">Ickingham, Middlesex </t>
  </si>
  <si>
    <t xml:space="preserve">Maiden Lane, London </t>
  </si>
  <si>
    <t xml:space="preserve">St Catherine Coleman, London </t>
  </si>
  <si>
    <t xml:space="preserve">Nicholas Lane, London </t>
  </si>
  <si>
    <t xml:space="preserve">Corby Kesteven Lincoln, London </t>
  </si>
  <si>
    <t xml:space="preserve">Croydon, Surrey </t>
  </si>
  <si>
    <t>Apply the LEFT and RIGHT functions to extract first letter from column A.</t>
  </si>
  <si>
    <t>Left</t>
  </si>
  <si>
    <t>Right</t>
  </si>
  <si>
    <t>Count the total number of cells that are not empty in column A place the result in cell B3.</t>
  </si>
  <si>
    <t>Count</t>
  </si>
  <si>
    <t>Identify and remove duplicate values in column A.</t>
  </si>
  <si>
    <t>Gentleman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</si>
</sst>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[$-409]d/mmm/yy;@"/>
  </numFmts>
  <fonts count="27">
    <font>
      <sz val="10"/>
      <name val="Arial"/>
      <charset val="0"/>
    </font>
    <font>
      <b/>
      <sz val="10"/>
      <name val="Arial"/>
      <charset val="0"/>
    </font>
    <font>
      <b/>
      <sz val="10"/>
      <name val="Palatino Linotype"/>
      <charset val="0"/>
    </font>
    <font>
      <sz val="10"/>
      <name val="Palatino Linotype"/>
      <charset val="0"/>
    </font>
    <font>
      <b/>
      <sz val="10"/>
      <color indexed="9"/>
      <name val="Garamond"/>
      <charset val="0"/>
    </font>
    <font>
      <sz val="10"/>
      <color indexed="9"/>
      <name val="Arial"/>
      <charset val="0"/>
    </font>
    <font>
      <b/>
      <sz val="10"/>
      <color indexed="12"/>
      <name val="Arial"/>
      <charset val="0"/>
    </font>
    <font>
      <sz val="8"/>
      <name val="Arial"/>
      <charset val="0"/>
    </font>
    <font>
      <u/>
      <sz val="11"/>
      <color indexed="12"/>
      <name val="Calibri"/>
      <charset val="0"/>
    </font>
    <font>
      <u/>
      <sz val="11"/>
      <color indexed="20"/>
      <name val="Calibri"/>
      <charset val="0"/>
    </font>
    <font>
      <sz val="11"/>
      <color indexed="10"/>
      <name val="Calibri"/>
      <charset val="0"/>
    </font>
    <font>
      <sz val="18"/>
      <color indexed="54"/>
      <name val="Calibri Light"/>
      <charset val="0"/>
    </font>
    <font>
      <i/>
      <sz val="11"/>
      <color indexed="23"/>
      <name val="Calibri"/>
      <charset val="0"/>
    </font>
    <font>
      <b/>
      <sz val="15"/>
      <color indexed="54"/>
      <name val="Calibri"/>
      <charset val="0"/>
    </font>
    <font>
      <b/>
      <sz val="13"/>
      <color indexed="54"/>
      <name val="Calibri"/>
      <charset val="0"/>
    </font>
    <font>
      <b/>
      <sz val="11"/>
      <color indexed="54"/>
      <name val="Calibri"/>
      <charset val="0"/>
    </font>
    <font>
      <sz val="11"/>
      <color indexed="62"/>
      <name val="Calibri"/>
      <charset val="0"/>
    </font>
    <font>
      <b/>
      <sz val="11"/>
      <color indexed="63"/>
      <name val="Calibri"/>
      <charset val="0"/>
    </font>
    <font>
      <b/>
      <sz val="11"/>
      <color indexed="52"/>
      <name val="Calibri"/>
      <charset val="0"/>
    </font>
    <font>
      <b/>
      <sz val="11"/>
      <color indexed="9"/>
      <name val="Calibri"/>
      <charset val="0"/>
    </font>
    <font>
      <sz val="11"/>
      <color indexed="52"/>
      <name val="Calibri"/>
      <charset val="0"/>
    </font>
    <font>
      <b/>
      <sz val="11"/>
      <color indexed="8"/>
      <name val="Calibri"/>
      <charset val="0"/>
    </font>
    <font>
      <sz val="11"/>
      <color indexed="17"/>
      <name val="Calibri"/>
      <charset val="0"/>
    </font>
    <font>
      <sz val="11"/>
      <color indexed="20"/>
      <name val="Calibri"/>
      <charset val="0"/>
    </font>
    <font>
      <sz val="11"/>
      <color indexed="60"/>
      <name val="Calibri"/>
      <charset val="0"/>
    </font>
    <font>
      <sz val="11"/>
      <color indexed="9"/>
      <name val="Calibri"/>
      <charset val="0"/>
    </font>
    <font>
      <sz val="11"/>
      <color indexed="8"/>
      <name val="Calibri"/>
      <charset val="0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3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24" applyNumberFormat="0" applyFill="0" applyAlignment="0" applyProtection="0"/>
    <xf numFmtId="0" fontId="14" fillId="0" borderId="25" applyNumberFormat="0" applyFill="0" applyAlignment="0" applyProtection="0"/>
    <xf numFmtId="0" fontId="15" fillId="0" borderId="26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27" applyNumberFormat="0" applyAlignment="0" applyProtection="0"/>
    <xf numFmtId="0" fontId="17" fillId="8" borderId="28" applyNumberFormat="0" applyAlignment="0" applyProtection="0"/>
    <xf numFmtId="0" fontId="18" fillId="8" borderId="27" applyNumberFormat="0" applyAlignment="0" applyProtection="0"/>
    <xf numFmtId="0" fontId="19" fillId="9" borderId="29" applyNumberFormat="0" applyAlignment="0" applyProtection="0"/>
    <xf numFmtId="0" fontId="20" fillId="0" borderId="30" applyNumberFormat="0" applyFill="0" applyAlignment="0" applyProtection="0"/>
    <xf numFmtId="0" fontId="21" fillId="0" borderId="31" applyNumberFormat="0" applyFill="0" applyAlignment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5" fillId="3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5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5" fillId="18" borderId="0" applyNumberFormat="0" applyBorder="0" applyAlignment="0" applyProtection="0"/>
    <xf numFmtId="0" fontId="26" fillId="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16" borderId="0" applyNumberFormat="0" applyBorder="0" applyAlignment="0" applyProtection="0"/>
    <xf numFmtId="0" fontId="26" fillId="19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0" borderId="0" applyNumberFormat="0" applyBorder="0" applyAlignment="0" applyProtection="0"/>
    <xf numFmtId="0" fontId="26" fillId="10" borderId="0" applyNumberFormat="0" applyBorder="0" applyAlignment="0" applyProtection="0"/>
    <xf numFmtId="0" fontId="26" fillId="12" borderId="0" applyNumberFormat="0" applyBorder="0" applyAlignment="0" applyProtection="0"/>
    <xf numFmtId="0" fontId="26" fillId="20" borderId="0" applyNumberFormat="0" applyBorder="0" applyAlignment="0" applyProtection="0"/>
    <xf numFmtId="0" fontId="0" fillId="0" borderId="0" applyNumberFormat="0" applyFont="0" applyFill="0" applyBorder="0" applyAlignment="0" applyProtection="0">
      <alignment vertical="top"/>
    </xf>
    <xf numFmtId="0" fontId="0" fillId="0" borderId="0"/>
    <xf numFmtId="0" fontId="0" fillId="0" borderId="0">
      <alignment vertical="center"/>
    </xf>
    <xf numFmtId="0" fontId="0" fillId="0" borderId="0"/>
    <xf numFmtId="0" fontId="12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2" fillId="2" borderId="1" xfId="52" applyNumberFormat="1" applyFont="1" applyFill="1" applyBorder="1" applyAlignment="1" applyProtection="1">
      <alignment horizontal="center" vertical="center"/>
      <protection locked="0"/>
    </xf>
    <xf numFmtId="0" fontId="3" fillId="0" borderId="1" xfId="50" applyNumberFormat="1" applyFont="1" applyFill="1" applyBorder="1" applyAlignment="1" applyProtection="1">
      <alignment horizontal="center" vertical="top"/>
      <protection locked="0"/>
    </xf>
    <xf numFmtId="0" fontId="3" fillId="0" borderId="2" xfId="0" applyFont="1" applyFill="1" applyBorder="1"/>
    <xf numFmtId="0" fontId="3" fillId="0" borderId="0" xfId="0" applyFont="1" applyFill="1" applyBorder="1"/>
    <xf numFmtId="0" fontId="3" fillId="0" borderId="1" xfId="0" applyNumberFormat="1" applyFont="1" applyFill="1" applyBorder="1" applyAlignment="1" applyProtection="1">
      <alignment horizontal="center" vertical="top"/>
      <protection locked="0"/>
    </xf>
    <xf numFmtId="0" fontId="3" fillId="0" borderId="1" xfId="0" applyFont="1" applyFill="1" applyBorder="1"/>
    <xf numFmtId="0" fontId="2" fillId="2" borderId="1" xfId="52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0" fontId="0" fillId="0" borderId="0" xfId="0" applyFont="1" applyFill="1" applyBorder="1"/>
    <xf numFmtId="0" fontId="3" fillId="0" borderId="2" xfId="0" applyNumberFormat="1" applyFont="1" applyFill="1" applyBorder="1"/>
    <xf numFmtId="0" fontId="2" fillId="0" borderId="0" xfId="0" applyFont="1"/>
    <xf numFmtId="0" fontId="3" fillId="0" borderId="3" xfId="0" applyFont="1" applyFill="1" applyBorder="1" applyAlignment="1" applyProtection="1">
      <alignment horizontal="center"/>
      <protection locked="0"/>
    </xf>
    <xf numFmtId="0" fontId="2" fillId="0" borderId="0" xfId="0" applyFont="1" applyFill="1" applyAlignment="1"/>
    <xf numFmtId="0" fontId="4" fillId="3" borderId="4" xfId="52" applyFont="1" applyFill="1" applyBorder="1" applyAlignment="1">
      <alignment horizontal="center" vertical="center"/>
    </xf>
    <xf numFmtId="180" fontId="5" fillId="3" borderId="5" xfId="0" applyNumberFormat="1" applyFont="1" applyFill="1" applyBorder="1" applyAlignment="1">
      <alignment horizontal="center"/>
    </xf>
    <xf numFmtId="0" fontId="4" fillId="3" borderId="6" xfId="52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5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7" fillId="6" borderId="1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/>
    <xf numFmtId="0" fontId="0" fillId="0" borderId="1" xfId="0" applyBorder="1"/>
    <xf numFmtId="0" fontId="0" fillId="0" borderId="22" xfId="0" applyBorder="1" applyAlignment="1">
      <alignment horizontal="center"/>
    </xf>
    <xf numFmtId="0" fontId="0" fillId="0" borderId="13" xfId="0" applyBorder="1"/>
    <xf numFmtId="0" fontId="0" fillId="0" borderId="14" xfId="0" applyBorder="1"/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_1_Sheet1" xfId="49"/>
    <cellStyle name="Normal_Sheet1" xfId="50"/>
    <cellStyle name="Normal 2" xfId="51"/>
    <cellStyle name="Normal_Sheet1_1" xfId="52"/>
    <cellStyle name="Explanatory Text" xfId="53"/>
  </cellStyles>
  <tableStyles count="0" defaultTableStyle="TableStyleMedium2" defaultPivotStyle="PivotStyleLight16"/>
  <colors>
    <mruColors>
      <color rgb="000000FF"/>
      <color rgb="00969696"/>
      <color rgb="0000FFFF"/>
      <color rgb="00CC99FF"/>
      <color rgb="00FFFFFF"/>
      <color rgb="00FF6600"/>
      <color rgb="00FFFF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19"/>
  <sheetViews>
    <sheetView showGridLines="0" zoomScaleSheetLayoutView="60" workbookViewId="0">
      <selection activeCell="K6" sqref="K6"/>
    </sheetView>
  </sheetViews>
  <sheetFormatPr defaultColWidth="9.14285714285714" defaultRowHeight="12.75"/>
  <cols>
    <col min="2" max="2" width="11.7142857142857" customWidth="1"/>
    <col min="3" max="5" width="8.71428571428571"/>
    <col min="9" max="10" width="8.71428571428571"/>
    <col min="11" max="11" width="8.57142857142857"/>
    <col min="12" max="12" width="8.57142857142857" customWidth="1"/>
    <col min="13" max="13" width="7.85714285714286" customWidth="1"/>
    <col min="14" max="14" width="6.42857142857143" customWidth="1"/>
  </cols>
  <sheetData>
    <row r="3" ht="13.5"/>
    <row r="4" ht="13.5" spans="2:14">
      <c r="B4" s="15" t="s">
        <v>0</v>
      </c>
      <c r="C4" s="16">
        <v>40299</v>
      </c>
      <c r="D4" s="16">
        <f>C4+1</f>
        <v>40300</v>
      </c>
      <c r="E4" s="16">
        <f t="shared" ref="E4:J4" si="0">D4+1</f>
        <v>40301</v>
      </c>
      <c r="F4" s="16">
        <f t="shared" si="0"/>
        <v>40302</v>
      </c>
      <c r="G4" s="16">
        <f t="shared" si="0"/>
        <v>40303</v>
      </c>
      <c r="H4" s="16">
        <f t="shared" si="0"/>
        <v>40304</v>
      </c>
      <c r="I4" s="16">
        <f t="shared" si="0"/>
        <v>40305</v>
      </c>
      <c r="J4" s="16">
        <f t="shared" si="0"/>
        <v>40306</v>
      </c>
      <c r="K4" s="28" t="s">
        <v>1</v>
      </c>
      <c r="L4" s="29" t="s">
        <v>2</v>
      </c>
      <c r="M4" s="29" t="s">
        <v>3</v>
      </c>
      <c r="N4" s="30" t="s">
        <v>4</v>
      </c>
    </row>
    <row r="5" ht="13.5" spans="2:14">
      <c r="B5" s="17"/>
      <c r="C5" s="18" t="str">
        <f>TEXT(C4,"ddd")</f>
        <v>Sat</v>
      </c>
      <c r="D5" s="18" t="str">
        <f t="shared" ref="D5:J5" si="1">TEXT(D4,"ddd")</f>
        <v>Sun</v>
      </c>
      <c r="E5" s="18" t="str">
        <f t="shared" si="1"/>
        <v>Mon</v>
      </c>
      <c r="F5" s="18" t="str">
        <f t="shared" si="1"/>
        <v>Tue</v>
      </c>
      <c r="G5" s="18" t="str">
        <f t="shared" si="1"/>
        <v>Wed</v>
      </c>
      <c r="H5" s="18" t="str">
        <f t="shared" si="1"/>
        <v>Thu</v>
      </c>
      <c r="I5" s="18" t="str">
        <f t="shared" si="1"/>
        <v>Fri</v>
      </c>
      <c r="J5" s="18" t="str">
        <f t="shared" si="1"/>
        <v>Sat</v>
      </c>
      <c r="K5" s="31"/>
      <c r="L5" s="32"/>
      <c r="M5" s="32"/>
      <c r="N5" s="33"/>
    </row>
    <row r="6" spans="2:14">
      <c r="B6" s="19" t="s">
        <v>5</v>
      </c>
      <c r="C6" s="20" t="s">
        <v>6</v>
      </c>
      <c r="D6" s="21" t="s">
        <v>7</v>
      </c>
      <c r="E6" s="21" t="s">
        <v>6</v>
      </c>
      <c r="F6" s="21" t="s">
        <v>6</v>
      </c>
      <c r="G6" s="21" t="s">
        <v>6</v>
      </c>
      <c r="H6" s="21" t="s">
        <v>6</v>
      </c>
      <c r="I6" s="21" t="s">
        <v>6</v>
      </c>
      <c r="J6" s="34" t="s">
        <v>6</v>
      </c>
      <c r="K6" s="35"/>
      <c r="L6" s="36"/>
      <c r="M6" s="36"/>
      <c r="N6" s="37">
        <f>SUM(K6:M6)</f>
        <v>0</v>
      </c>
    </row>
    <row r="7" spans="2:14">
      <c r="B7" s="19" t="s">
        <v>8</v>
      </c>
      <c r="C7" s="22" t="s">
        <v>6</v>
      </c>
      <c r="D7" s="23" t="s">
        <v>7</v>
      </c>
      <c r="E7" s="23" t="s">
        <v>6</v>
      </c>
      <c r="F7" s="23" t="s">
        <v>6</v>
      </c>
      <c r="G7" s="23" t="s">
        <v>6</v>
      </c>
      <c r="H7" s="23" t="s">
        <v>9</v>
      </c>
      <c r="I7" s="23" t="s">
        <v>6</v>
      </c>
      <c r="J7" s="38" t="s">
        <v>6</v>
      </c>
      <c r="K7" s="39"/>
      <c r="L7" s="40"/>
      <c r="M7" s="40"/>
      <c r="N7" s="38">
        <f t="shared" ref="N7:N16" si="2">SUM(K7:M7)</f>
        <v>0</v>
      </c>
    </row>
    <row r="8" spans="2:14">
      <c r="B8" s="19" t="s">
        <v>10</v>
      </c>
      <c r="C8" s="22" t="s">
        <v>6</v>
      </c>
      <c r="D8" s="23" t="s">
        <v>7</v>
      </c>
      <c r="E8" s="23" t="s">
        <v>6</v>
      </c>
      <c r="F8" s="23" t="s">
        <v>6</v>
      </c>
      <c r="G8" s="23" t="s">
        <v>6</v>
      </c>
      <c r="H8" s="23" t="s">
        <v>6</v>
      </c>
      <c r="I8" s="23" t="s">
        <v>6</v>
      </c>
      <c r="J8" s="38" t="s">
        <v>6</v>
      </c>
      <c r="K8" s="39"/>
      <c r="L8" s="40"/>
      <c r="M8" s="40"/>
      <c r="N8" s="38">
        <f t="shared" si="2"/>
        <v>0</v>
      </c>
    </row>
    <row r="9" spans="2:14">
      <c r="B9" s="19" t="s">
        <v>11</v>
      </c>
      <c r="C9" s="22" t="s">
        <v>6</v>
      </c>
      <c r="D9" s="23" t="s">
        <v>7</v>
      </c>
      <c r="E9" s="23" t="s">
        <v>6</v>
      </c>
      <c r="F9" s="23" t="s">
        <v>9</v>
      </c>
      <c r="G9" s="23" t="s">
        <v>9</v>
      </c>
      <c r="H9" s="23" t="s">
        <v>6</v>
      </c>
      <c r="I9" s="23" t="s">
        <v>9</v>
      </c>
      <c r="J9" s="38" t="s">
        <v>6</v>
      </c>
      <c r="K9" s="39"/>
      <c r="L9" s="40"/>
      <c r="M9" s="40"/>
      <c r="N9" s="38">
        <f t="shared" si="2"/>
        <v>0</v>
      </c>
    </row>
    <row r="10" spans="2:14">
      <c r="B10" s="19" t="s">
        <v>12</v>
      </c>
      <c r="C10" s="22" t="s">
        <v>6</v>
      </c>
      <c r="D10" s="23" t="s">
        <v>7</v>
      </c>
      <c r="E10" s="23" t="s">
        <v>6</v>
      </c>
      <c r="F10" s="23" t="s">
        <v>6</v>
      </c>
      <c r="G10" s="23" t="s">
        <v>6</v>
      </c>
      <c r="H10" s="23" t="s">
        <v>6</v>
      </c>
      <c r="I10" s="23" t="s">
        <v>6</v>
      </c>
      <c r="J10" s="38" t="s">
        <v>6</v>
      </c>
      <c r="K10" s="39"/>
      <c r="L10" s="40"/>
      <c r="M10" s="40"/>
      <c r="N10" s="38">
        <f t="shared" si="2"/>
        <v>0</v>
      </c>
    </row>
    <row r="11" spans="2:14">
      <c r="B11" s="19" t="s">
        <v>13</v>
      </c>
      <c r="C11" s="22" t="s">
        <v>6</v>
      </c>
      <c r="D11" s="23" t="s">
        <v>7</v>
      </c>
      <c r="E11" s="23" t="s">
        <v>6</v>
      </c>
      <c r="F11" s="23" t="s">
        <v>6</v>
      </c>
      <c r="G11" s="23" t="s">
        <v>6</v>
      </c>
      <c r="H11" s="23" t="s">
        <v>6</v>
      </c>
      <c r="I11" s="23" t="s">
        <v>6</v>
      </c>
      <c r="J11" s="38" t="s">
        <v>6</v>
      </c>
      <c r="K11" s="39"/>
      <c r="L11" s="40"/>
      <c r="M11" s="40"/>
      <c r="N11" s="38">
        <f t="shared" si="2"/>
        <v>0</v>
      </c>
    </row>
    <row r="12" spans="2:14">
      <c r="B12" s="19" t="s">
        <v>14</v>
      </c>
      <c r="C12" s="22" t="s">
        <v>6</v>
      </c>
      <c r="D12" s="23" t="s">
        <v>7</v>
      </c>
      <c r="E12" s="23" t="s">
        <v>6</v>
      </c>
      <c r="F12" s="23" t="s">
        <v>6</v>
      </c>
      <c r="G12" s="23" t="s">
        <v>6</v>
      </c>
      <c r="H12" s="23" t="s">
        <v>9</v>
      </c>
      <c r="I12" s="23" t="s">
        <v>6</v>
      </c>
      <c r="J12" s="38" t="s">
        <v>6</v>
      </c>
      <c r="K12" s="39"/>
      <c r="L12" s="40"/>
      <c r="M12" s="40"/>
      <c r="N12" s="38">
        <f t="shared" si="2"/>
        <v>0</v>
      </c>
    </row>
    <row r="13" spans="2:14">
      <c r="B13" s="19" t="s">
        <v>15</v>
      </c>
      <c r="C13" s="22" t="s">
        <v>6</v>
      </c>
      <c r="D13" s="23" t="s">
        <v>7</v>
      </c>
      <c r="E13" s="23" t="s">
        <v>6</v>
      </c>
      <c r="F13" s="23" t="s">
        <v>9</v>
      </c>
      <c r="G13" s="23" t="s">
        <v>9</v>
      </c>
      <c r="H13" s="23" t="s">
        <v>6</v>
      </c>
      <c r="I13" s="23" t="s">
        <v>6</v>
      </c>
      <c r="J13" s="38" t="s">
        <v>6</v>
      </c>
      <c r="K13" s="39"/>
      <c r="L13" s="40"/>
      <c r="M13" s="40"/>
      <c r="N13" s="38">
        <f t="shared" si="2"/>
        <v>0</v>
      </c>
    </row>
    <row r="14" spans="2:14">
      <c r="B14" s="19" t="s">
        <v>16</v>
      </c>
      <c r="C14" s="22" t="s">
        <v>6</v>
      </c>
      <c r="D14" s="23" t="s">
        <v>7</v>
      </c>
      <c r="E14" s="23" t="s">
        <v>6</v>
      </c>
      <c r="F14" s="23" t="s">
        <v>6</v>
      </c>
      <c r="G14" s="23" t="s">
        <v>6</v>
      </c>
      <c r="H14" s="23" t="s">
        <v>6</v>
      </c>
      <c r="I14" s="23" t="s">
        <v>6</v>
      </c>
      <c r="J14" s="38" t="s">
        <v>6</v>
      </c>
      <c r="K14" s="39"/>
      <c r="L14" s="40"/>
      <c r="M14" s="40"/>
      <c r="N14" s="38">
        <f t="shared" si="2"/>
        <v>0</v>
      </c>
    </row>
    <row r="15" spans="2:14">
      <c r="B15" s="19" t="s">
        <v>17</v>
      </c>
      <c r="C15" s="22" t="s">
        <v>6</v>
      </c>
      <c r="D15" s="23" t="s">
        <v>7</v>
      </c>
      <c r="E15" s="23" t="s">
        <v>6</v>
      </c>
      <c r="F15" s="23" t="s">
        <v>6</v>
      </c>
      <c r="G15" s="23" t="s">
        <v>9</v>
      </c>
      <c r="H15" s="23" t="s">
        <v>9</v>
      </c>
      <c r="I15" s="23" t="s">
        <v>9</v>
      </c>
      <c r="J15" s="38" t="s">
        <v>6</v>
      </c>
      <c r="K15" s="39"/>
      <c r="L15" s="40"/>
      <c r="M15" s="40"/>
      <c r="N15" s="38">
        <f t="shared" si="2"/>
        <v>0</v>
      </c>
    </row>
    <row r="16" ht="13.5" spans="2:14">
      <c r="B16" s="24" t="s">
        <v>18</v>
      </c>
      <c r="C16" s="25" t="s">
        <v>6</v>
      </c>
      <c r="D16" s="26" t="s">
        <v>7</v>
      </c>
      <c r="E16" s="26" t="s">
        <v>6</v>
      </c>
      <c r="F16" s="26" t="s">
        <v>6</v>
      </c>
      <c r="G16" s="26" t="s">
        <v>6</v>
      </c>
      <c r="H16" s="26" t="s">
        <v>6</v>
      </c>
      <c r="I16" s="26" t="s">
        <v>6</v>
      </c>
      <c r="J16" s="41" t="s">
        <v>6</v>
      </c>
      <c r="K16" s="42"/>
      <c r="L16" s="43"/>
      <c r="M16" s="43"/>
      <c r="N16" s="41">
        <f t="shared" si="2"/>
        <v>0</v>
      </c>
    </row>
    <row r="19" spans="2:2">
      <c r="B19" s="27" t="s">
        <v>19</v>
      </c>
    </row>
  </sheetData>
  <mergeCells count="5">
    <mergeCell ref="B4:B5"/>
    <mergeCell ref="K4:K5"/>
    <mergeCell ref="L4:L5"/>
    <mergeCell ref="M4:M5"/>
    <mergeCell ref="N4:N5"/>
  </mergeCells>
  <pageMargins left="0.75" right="0.75" top="1" bottom="1" header="0.5" footer="0.5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showGridLines="0" tabSelected="1" zoomScaleSheetLayoutView="60" workbookViewId="0">
      <selection activeCell="A1" sqref="A1"/>
    </sheetView>
  </sheetViews>
  <sheetFormatPr defaultColWidth="9.14285714285714" defaultRowHeight="15" outlineLevelCol="3"/>
  <cols>
    <col min="1" max="1" width="74" style="5" customWidth="1"/>
    <col min="2" max="2" width="52.1428571428571" style="5" customWidth="1"/>
    <col min="3" max="3" width="41" style="5" customWidth="1"/>
    <col min="4" max="4" width="43.1428571428571" style="5" customWidth="1"/>
    <col min="5" max="16384" width="9.14285714285714" style="5"/>
  </cols>
  <sheetData>
    <row r="1" spans="1:4">
      <c r="A1" s="14" t="s">
        <v>20</v>
      </c>
      <c r="B1" s="14"/>
      <c r="C1" s="14"/>
      <c r="D1" s="14"/>
    </row>
    <row r="2" ht="25.5" customHeight="1" spans="1:4">
      <c r="A2" s="2" t="s">
        <v>21</v>
      </c>
      <c r="B2" s="2" t="s">
        <v>22</v>
      </c>
      <c r="C2" s="2" t="s">
        <v>23</v>
      </c>
      <c r="D2" s="2" t="s">
        <v>24</v>
      </c>
    </row>
    <row r="3" spans="1:4">
      <c r="A3" s="3" t="s">
        <v>25</v>
      </c>
      <c r="B3" s="3" t="str">
        <f>UPPER(A3)</f>
        <v>SUTTON, SURREY</v>
      </c>
      <c r="C3" s="3" t="str">
        <f>LOWER(A3)</f>
        <v>sutton, surrey</v>
      </c>
      <c r="D3" s="3" t="str">
        <f>PROPER(A3)</f>
        <v>Sutton, Surrey</v>
      </c>
    </row>
    <row r="4" spans="1:4">
      <c r="A4" s="3" t="s">
        <v>26</v>
      </c>
      <c r="B4" s="3" t="str">
        <f t="shared" ref="B4:B35" si="0">UPPER(A4)</f>
        <v>GREAT ST HELEN, LONDON</v>
      </c>
      <c r="C4" s="3" t="str">
        <f t="shared" ref="C4:C35" si="1">LOWER(A4)</f>
        <v>great st helen, london</v>
      </c>
      <c r="D4" s="3" t="str">
        <f t="shared" ref="D4:D35" si="2">PROPER(A4)</f>
        <v>Great St Helen, London</v>
      </c>
    </row>
    <row r="5" spans="1:4">
      <c r="A5" s="3" t="s">
        <v>27</v>
      </c>
      <c r="B5" s="3" t="str">
        <f t="shared" si="0"/>
        <v>ST ANDREW HOLBORN</v>
      </c>
      <c r="C5" s="3" t="str">
        <f t="shared" si="1"/>
        <v>st andrew holborn</v>
      </c>
      <c r="D5" s="3" t="str">
        <f t="shared" si="2"/>
        <v>St Andrew Holborn</v>
      </c>
    </row>
    <row r="6" spans="1:4">
      <c r="A6" s="3" t="s">
        <v>28</v>
      </c>
      <c r="B6" s="3" t="str">
        <f t="shared" si="0"/>
        <v>WAPPING, MIDDLESEX</v>
      </c>
      <c r="C6" s="3" t="str">
        <f t="shared" si="1"/>
        <v>wapping, middlesex</v>
      </c>
      <c r="D6" s="3" t="str">
        <f t="shared" si="2"/>
        <v>Wapping, Middlesex</v>
      </c>
    </row>
    <row r="7" spans="1:4">
      <c r="A7" s="3" t="s">
        <v>29</v>
      </c>
      <c r="B7" s="3" t="str">
        <f t="shared" si="0"/>
        <v>HORNE, SURREY</v>
      </c>
      <c r="C7" s="3" t="str">
        <f t="shared" si="1"/>
        <v>horne, surrey</v>
      </c>
      <c r="D7" s="3" t="str">
        <f t="shared" si="2"/>
        <v>Horne, Surrey</v>
      </c>
    </row>
    <row r="8" spans="1:4">
      <c r="A8" s="3" t="s">
        <v>30</v>
      </c>
      <c r="B8" s="3" t="str">
        <f t="shared" si="0"/>
        <v>HORNSOY, MIDDLESEX</v>
      </c>
      <c r="C8" s="3" t="str">
        <f t="shared" si="1"/>
        <v>hornsoy, middlesex</v>
      </c>
      <c r="D8" s="3" t="str">
        <f t="shared" si="2"/>
        <v>Hornsoy, Middlesex</v>
      </c>
    </row>
    <row r="9" spans="1:4">
      <c r="A9" s="3" t="s">
        <v>31</v>
      </c>
      <c r="B9" s="3" t="str">
        <f t="shared" si="0"/>
        <v>GODMERSHAM, KENT</v>
      </c>
      <c r="C9" s="3" t="str">
        <f t="shared" si="1"/>
        <v>godmersham, kent</v>
      </c>
      <c r="D9" s="3" t="str">
        <f t="shared" si="2"/>
        <v>Godmersham, Kent</v>
      </c>
    </row>
    <row r="10" spans="1:4">
      <c r="A10" s="3" t="s">
        <v>32</v>
      </c>
      <c r="B10" s="3" t="str">
        <f t="shared" si="0"/>
        <v>HEATH, MIDDLESEX</v>
      </c>
      <c r="C10" s="3" t="str">
        <f t="shared" si="1"/>
        <v>heath, middlesex</v>
      </c>
      <c r="D10" s="3" t="str">
        <f t="shared" si="2"/>
        <v>Heath, Middlesex</v>
      </c>
    </row>
    <row r="11" spans="1:4">
      <c r="A11" s="3" t="s">
        <v>33</v>
      </c>
      <c r="B11" s="3" t="str">
        <f t="shared" si="0"/>
        <v>ALDERMANBURY, LONDON</v>
      </c>
      <c r="C11" s="3" t="str">
        <f t="shared" si="1"/>
        <v>aldermanbury, london</v>
      </c>
      <c r="D11" s="3" t="str">
        <f t="shared" si="2"/>
        <v>Aldermanbury, London</v>
      </c>
    </row>
    <row r="12" spans="1:4">
      <c r="A12" s="3" t="s">
        <v>34</v>
      </c>
      <c r="B12" s="3" t="str">
        <f t="shared" si="0"/>
        <v>ST MARTIN IN THE FIELDS</v>
      </c>
      <c r="C12" s="3" t="str">
        <f t="shared" si="1"/>
        <v>st martin in the fields</v>
      </c>
      <c r="D12" s="3" t="str">
        <f t="shared" si="2"/>
        <v>St Martin In The Fields</v>
      </c>
    </row>
    <row r="13" spans="1:4">
      <c r="A13" s="3" t="s">
        <v>35</v>
      </c>
      <c r="B13" s="3" t="str">
        <f t="shared" si="0"/>
        <v>EASTWOOD, ESSEX</v>
      </c>
      <c r="C13" s="3" t="str">
        <f t="shared" si="1"/>
        <v>eastwood, essex</v>
      </c>
      <c r="D13" s="3" t="str">
        <f t="shared" si="2"/>
        <v>Eastwood, Essex</v>
      </c>
    </row>
    <row r="14" spans="1:4">
      <c r="A14" s="3" t="s">
        <v>36</v>
      </c>
      <c r="B14" s="3" t="str">
        <f t="shared" si="0"/>
        <v>BRADWELL JAXTA MARE, MIDDLESEX</v>
      </c>
      <c r="C14" s="3" t="str">
        <f t="shared" si="1"/>
        <v>bradwell jaxta mare, middlesex</v>
      </c>
      <c r="D14" s="3" t="str">
        <f t="shared" si="2"/>
        <v>Bradwell Jaxta Mare, Middlesex</v>
      </c>
    </row>
    <row r="15" spans="1:4">
      <c r="A15" s="3" t="s">
        <v>37</v>
      </c>
      <c r="B15" s="3" t="str">
        <f t="shared" si="0"/>
        <v>HAM CHARLETON KINGS, GLOUCESTER</v>
      </c>
      <c r="C15" s="3" t="str">
        <f t="shared" si="1"/>
        <v>ham charleton kings, gloucester</v>
      </c>
      <c r="D15" s="3" t="str">
        <f t="shared" si="2"/>
        <v>Ham Charleton Kings, Gloucester</v>
      </c>
    </row>
    <row r="16" spans="1:4">
      <c r="A16" s="3" t="s">
        <v>38</v>
      </c>
      <c r="B16" s="3" t="str">
        <f t="shared" si="0"/>
        <v>STBOTOLPH ALDERSGATE</v>
      </c>
      <c r="C16" s="3" t="str">
        <f t="shared" si="1"/>
        <v>stbotolph aldersgate</v>
      </c>
      <c r="D16" s="3" t="str">
        <f t="shared" si="2"/>
        <v>Stbotolph Aldersgate</v>
      </c>
    </row>
    <row r="17" spans="1:4">
      <c r="A17" s="3" t="s">
        <v>39</v>
      </c>
      <c r="B17" s="3" t="str">
        <f t="shared" si="0"/>
        <v>ST LAWRENCE, LONDON</v>
      </c>
      <c r="C17" s="3" t="str">
        <f t="shared" si="1"/>
        <v>st lawrence, london</v>
      </c>
      <c r="D17" s="3" t="str">
        <f t="shared" si="2"/>
        <v>St Lawrence, London</v>
      </c>
    </row>
    <row r="18" spans="1:4">
      <c r="A18" s="3" t="s">
        <v>40</v>
      </c>
      <c r="B18" s="3" t="str">
        <f t="shared" si="0"/>
        <v>LOMSTER HOREFORD</v>
      </c>
      <c r="C18" s="3" t="str">
        <f t="shared" si="1"/>
        <v>lomster horeford</v>
      </c>
      <c r="D18" s="3" t="str">
        <f t="shared" si="2"/>
        <v>Lomster Horeford</v>
      </c>
    </row>
    <row r="19" spans="1:4">
      <c r="A19" s="3" t="s">
        <v>41</v>
      </c>
      <c r="B19" s="3" t="str">
        <f t="shared" si="0"/>
        <v>ST MARTIN IN THE FIELDS, MIDDLESEX</v>
      </c>
      <c r="C19" s="3" t="str">
        <f t="shared" si="1"/>
        <v>st martin in the fields, middlesex</v>
      </c>
      <c r="D19" s="3" t="str">
        <f t="shared" si="2"/>
        <v>St Martin In The Fields, Middlesex</v>
      </c>
    </row>
    <row r="20" spans="1:4">
      <c r="A20" s="3" t="s">
        <v>42</v>
      </c>
      <c r="B20" s="3" t="str">
        <f t="shared" si="0"/>
        <v>KEIRE WORCESTER</v>
      </c>
      <c r="C20" s="3" t="str">
        <f t="shared" si="1"/>
        <v>keire worcester</v>
      </c>
      <c r="D20" s="3" t="str">
        <f t="shared" si="2"/>
        <v>Keire Worcester</v>
      </c>
    </row>
    <row r="21" spans="1:4">
      <c r="A21" s="3" t="s">
        <v>43</v>
      </c>
      <c r="B21" s="3" t="str">
        <f t="shared" si="0"/>
        <v>ST GILES IN THE FIELDS, MIDDLESEX</v>
      </c>
      <c r="C21" s="3" t="str">
        <f t="shared" si="1"/>
        <v>st giles in the fields, middlesex</v>
      </c>
      <c r="D21" s="3" t="str">
        <f t="shared" si="2"/>
        <v>St Giles In The Fields, Middlesex</v>
      </c>
    </row>
    <row r="22" spans="1:4">
      <c r="A22" s="3" t="s">
        <v>34</v>
      </c>
      <c r="B22" s="3" t="str">
        <f t="shared" si="0"/>
        <v>ST MARTIN IN THE FIELDS</v>
      </c>
      <c r="C22" s="3" t="str">
        <f t="shared" si="1"/>
        <v>st martin in the fields</v>
      </c>
      <c r="D22" s="3" t="str">
        <f t="shared" si="2"/>
        <v>St Martin In The Fields</v>
      </c>
    </row>
    <row r="23" spans="1:4">
      <c r="A23" s="3" t="s">
        <v>44</v>
      </c>
      <c r="B23" s="3" t="str">
        <f t="shared" si="0"/>
        <v>ST CLEMENT DANES</v>
      </c>
      <c r="C23" s="3" t="str">
        <f t="shared" si="1"/>
        <v>st clement danes</v>
      </c>
      <c r="D23" s="3" t="str">
        <f t="shared" si="2"/>
        <v>St Clement Danes</v>
      </c>
    </row>
    <row r="24" spans="1:4">
      <c r="A24" s="3" t="s">
        <v>45</v>
      </c>
      <c r="B24" s="3" t="str">
        <f t="shared" si="0"/>
        <v>BLACKDON DEVON</v>
      </c>
      <c r="C24" s="3" t="str">
        <f t="shared" si="1"/>
        <v>blackdon devon</v>
      </c>
      <c r="D24" s="3" t="str">
        <f t="shared" si="2"/>
        <v>Blackdon Devon</v>
      </c>
    </row>
    <row r="25" spans="1:4">
      <c r="A25" s="3" t="s">
        <v>46</v>
      </c>
      <c r="B25" s="3" t="str">
        <f t="shared" si="0"/>
        <v>ST ANNE WESTMINSTER</v>
      </c>
      <c r="C25" s="3" t="str">
        <f t="shared" si="1"/>
        <v>st anne westminster</v>
      </c>
      <c r="D25" s="3" t="str">
        <f t="shared" si="2"/>
        <v>St Anne Westminster</v>
      </c>
    </row>
    <row r="26" spans="1:4">
      <c r="A26" s="3" t="s">
        <v>47</v>
      </c>
      <c r="B26" s="3" t="str">
        <f t="shared" si="0"/>
        <v>ST GEORGE BOTOLPH LANE, LONDON</v>
      </c>
      <c r="C26" s="3" t="str">
        <f t="shared" si="1"/>
        <v>st george botolph lane, london</v>
      </c>
      <c r="D26" s="3" t="str">
        <f t="shared" si="2"/>
        <v>St George Botolph Lane, London</v>
      </c>
    </row>
    <row r="27" spans="1:4">
      <c r="A27" s="3" t="s">
        <v>48</v>
      </c>
      <c r="B27" s="3" t="str">
        <f t="shared" si="0"/>
        <v>BODDINGTON, SURREY</v>
      </c>
      <c r="C27" s="3" t="str">
        <f t="shared" si="1"/>
        <v>boddington, surrey</v>
      </c>
      <c r="D27" s="3" t="str">
        <f t="shared" si="2"/>
        <v>Boddington, Surrey</v>
      </c>
    </row>
    <row r="28" spans="1:4">
      <c r="A28" s="3" t="s">
        <v>49</v>
      </c>
      <c r="B28" s="3" t="str">
        <f t="shared" si="0"/>
        <v>STOAKE NORTHAMPTON</v>
      </c>
      <c r="C28" s="3" t="str">
        <f t="shared" si="1"/>
        <v>stoake northampton</v>
      </c>
      <c r="D28" s="3" t="str">
        <f t="shared" si="2"/>
        <v>Stoake Northampton</v>
      </c>
    </row>
    <row r="29" spans="1:4">
      <c r="A29" s="3" t="s">
        <v>50</v>
      </c>
      <c r="B29" s="3" t="str">
        <f t="shared" si="0"/>
        <v>ST SEPULCHRE, LONDON</v>
      </c>
      <c r="C29" s="3" t="str">
        <f t="shared" si="1"/>
        <v>st sepulchre, london</v>
      </c>
      <c r="D29" s="3" t="str">
        <f t="shared" si="2"/>
        <v>St Sepulchre, London</v>
      </c>
    </row>
    <row r="30" spans="1:4">
      <c r="A30" s="3" t="s">
        <v>51</v>
      </c>
      <c r="B30" s="3" t="str">
        <f t="shared" si="0"/>
        <v>AMPTHILL, BEDS</v>
      </c>
      <c r="C30" s="3" t="str">
        <f t="shared" si="1"/>
        <v>ampthill, beds</v>
      </c>
      <c r="D30" s="3" t="str">
        <f t="shared" si="2"/>
        <v>Ampthill, Beds</v>
      </c>
    </row>
    <row r="31" spans="1:4">
      <c r="A31" s="3" t="s">
        <v>52</v>
      </c>
      <c r="B31" s="3" t="str">
        <f t="shared" si="0"/>
        <v>LAMBETH, SURREY</v>
      </c>
      <c r="C31" s="3" t="str">
        <f t="shared" si="1"/>
        <v>lambeth, surrey</v>
      </c>
      <c r="D31" s="3" t="str">
        <f t="shared" si="2"/>
        <v>Lambeth, Surrey</v>
      </c>
    </row>
    <row r="32" spans="1:4">
      <c r="A32" s="3" t="s">
        <v>53</v>
      </c>
      <c r="B32" s="3" t="str">
        <f t="shared" si="0"/>
        <v>ST SEPULCHRE</v>
      </c>
      <c r="C32" s="3" t="str">
        <f t="shared" si="1"/>
        <v>st sepulchre</v>
      </c>
      <c r="D32" s="3" t="str">
        <f t="shared" si="2"/>
        <v>St Sepulchre</v>
      </c>
    </row>
    <row r="33" spans="1:4">
      <c r="A33" s="3" t="s">
        <v>54</v>
      </c>
      <c r="B33" s="3" t="str">
        <f t="shared" si="0"/>
        <v>ST SWITHIN, LONDON</v>
      </c>
      <c r="C33" s="3" t="str">
        <f t="shared" si="1"/>
        <v>st swithin, london</v>
      </c>
      <c r="D33" s="3" t="str">
        <f t="shared" si="2"/>
        <v>St Swithin, London</v>
      </c>
    </row>
    <row r="34" spans="1:4">
      <c r="A34" s="3" t="s">
        <v>55</v>
      </c>
      <c r="B34" s="3" t="str">
        <f t="shared" si="0"/>
        <v>STAFFORD</v>
      </c>
      <c r="C34" s="3" t="str">
        <f t="shared" si="1"/>
        <v>stafford</v>
      </c>
      <c r="D34" s="3" t="str">
        <f t="shared" si="2"/>
        <v>Stafford</v>
      </c>
    </row>
    <row r="35" spans="1:4">
      <c r="A35" s="3" t="s">
        <v>56</v>
      </c>
      <c r="B35" s="3" t="str">
        <f t="shared" si="0"/>
        <v>STCLEMENTDANES</v>
      </c>
      <c r="C35" s="3" t="str">
        <f t="shared" si="1"/>
        <v>stclementdanes</v>
      </c>
      <c r="D35" s="3" t="str">
        <f t="shared" si="2"/>
        <v>Stclementdanes</v>
      </c>
    </row>
    <row r="36" spans="1:4">
      <c r="A36" s="3" t="s">
        <v>57</v>
      </c>
      <c r="B36" s="3" t="str">
        <f t="shared" ref="B36:B67" si="3">UPPER(A36)</f>
        <v>CHELSEA, MIDDLESEX</v>
      </c>
      <c r="C36" s="3" t="str">
        <f t="shared" ref="C36:C67" si="4">LOWER(A36)</f>
        <v>chelsea, middlesex</v>
      </c>
      <c r="D36" s="3" t="str">
        <f t="shared" ref="D36:D67" si="5">PROPER(A36)</f>
        <v>Chelsea, Middlesex</v>
      </c>
    </row>
    <row r="37" spans="1:4">
      <c r="A37" s="3" t="s">
        <v>58</v>
      </c>
      <c r="B37" s="3" t="str">
        <f t="shared" si="3"/>
        <v>BOREHAM, ESSEX</v>
      </c>
      <c r="C37" s="3" t="str">
        <f t="shared" si="4"/>
        <v>boreham, essex</v>
      </c>
      <c r="D37" s="3" t="str">
        <f t="shared" si="5"/>
        <v>Boreham, Essex</v>
      </c>
    </row>
    <row r="38" spans="1:4">
      <c r="A38" s="3" t="s">
        <v>59</v>
      </c>
      <c r="B38" s="3" t="str">
        <f t="shared" si="3"/>
        <v>GADSDEN, HERTS</v>
      </c>
      <c r="C38" s="3" t="str">
        <f t="shared" si="4"/>
        <v>gadsden, herts</v>
      </c>
      <c r="D38" s="3" t="str">
        <f t="shared" si="5"/>
        <v>Gadsden, Herts</v>
      </c>
    </row>
    <row r="39" spans="1:4">
      <c r="A39" s="3" t="s">
        <v>60</v>
      </c>
      <c r="B39" s="3" t="str">
        <f t="shared" si="3"/>
        <v>STENNING SUSSEX</v>
      </c>
      <c r="C39" s="3" t="str">
        <f t="shared" si="4"/>
        <v>stenning sussex</v>
      </c>
      <c r="D39" s="3" t="str">
        <f t="shared" si="5"/>
        <v>Stenning Sussex</v>
      </c>
    </row>
    <row r="40" spans="1:4">
      <c r="A40" s="3" t="s">
        <v>61</v>
      </c>
      <c r="B40" s="3" t="str">
        <f t="shared" si="3"/>
        <v>ST DUNSTAN IN THE WEST</v>
      </c>
      <c r="C40" s="3" t="str">
        <f t="shared" si="4"/>
        <v>st dunstan in the west</v>
      </c>
      <c r="D40" s="3" t="str">
        <f t="shared" si="5"/>
        <v>St Dunstan In The West</v>
      </c>
    </row>
    <row r="41" spans="1:4">
      <c r="A41" s="3" t="s">
        <v>62</v>
      </c>
      <c r="B41" s="3" t="str">
        <f t="shared" si="3"/>
        <v>FEVERSHAM SAID COUNTY</v>
      </c>
      <c r="C41" s="3" t="str">
        <f t="shared" si="4"/>
        <v>feversham said county</v>
      </c>
      <c r="D41" s="3" t="str">
        <f t="shared" si="5"/>
        <v>Feversham Said County</v>
      </c>
    </row>
    <row r="42" spans="1:4">
      <c r="A42" s="3" t="s">
        <v>63</v>
      </c>
      <c r="B42" s="3" t="str">
        <f t="shared" si="3"/>
        <v>WINDSOR BERKS</v>
      </c>
      <c r="C42" s="3" t="str">
        <f t="shared" si="4"/>
        <v>windsor berks</v>
      </c>
      <c r="D42" s="3" t="str">
        <f t="shared" si="5"/>
        <v>Windsor Berks</v>
      </c>
    </row>
    <row r="43" spans="1:4">
      <c r="A43" s="3" t="s">
        <v>64</v>
      </c>
      <c r="B43" s="3" t="str">
        <f t="shared" si="3"/>
        <v>STDUNSTAN IN THE WEST</v>
      </c>
      <c r="C43" s="3" t="str">
        <f t="shared" si="4"/>
        <v>stdunstan in the west</v>
      </c>
      <c r="D43" s="3" t="str">
        <f t="shared" si="5"/>
        <v>Stdunstan In The West</v>
      </c>
    </row>
    <row r="44" spans="1:4">
      <c r="A44" s="3" t="s">
        <v>65</v>
      </c>
      <c r="B44" s="3" t="str">
        <f t="shared" si="3"/>
        <v>STANTON, WILTS</v>
      </c>
      <c r="C44" s="3" t="str">
        <f t="shared" si="4"/>
        <v>stanton, wilts</v>
      </c>
      <c r="D44" s="3" t="str">
        <f t="shared" si="5"/>
        <v>Stanton, Wilts</v>
      </c>
    </row>
    <row r="45" spans="1:4">
      <c r="A45" s="3" t="s">
        <v>66</v>
      </c>
      <c r="B45" s="3" t="str">
        <f t="shared" si="3"/>
        <v>EAST GRIMSTEAD SUSSEX</v>
      </c>
      <c r="C45" s="3" t="str">
        <f t="shared" si="4"/>
        <v>east grimstead sussex</v>
      </c>
      <c r="D45" s="3" t="str">
        <f t="shared" si="5"/>
        <v>East Grimstead Sussex</v>
      </c>
    </row>
    <row r="46" spans="1:4">
      <c r="A46" s="3" t="s">
        <v>67</v>
      </c>
      <c r="B46" s="3" t="str">
        <f t="shared" si="3"/>
        <v>CANTERBURY</v>
      </c>
      <c r="C46" s="3" t="str">
        <f t="shared" si="4"/>
        <v>canterbury</v>
      </c>
      <c r="D46" s="3" t="str">
        <f t="shared" si="5"/>
        <v>Canterbury</v>
      </c>
    </row>
    <row r="47" spans="1:4">
      <c r="A47" s="3" t="s">
        <v>68</v>
      </c>
      <c r="B47" s="3" t="str">
        <f t="shared" si="3"/>
        <v>DEALE</v>
      </c>
      <c r="C47" s="3" t="str">
        <f t="shared" si="4"/>
        <v>deale</v>
      </c>
      <c r="D47" s="3" t="str">
        <f t="shared" si="5"/>
        <v>Deale</v>
      </c>
    </row>
    <row r="48" spans="1:4">
      <c r="A48" s="3" t="s">
        <v>69</v>
      </c>
      <c r="B48" s="3" t="str">
        <f t="shared" si="3"/>
        <v>ST BRIDE, LONDON</v>
      </c>
      <c r="C48" s="3" t="str">
        <f t="shared" si="4"/>
        <v>st bride, london</v>
      </c>
      <c r="D48" s="3" t="str">
        <f t="shared" si="5"/>
        <v>St Bride, London</v>
      </c>
    </row>
    <row r="49" spans="1:4">
      <c r="A49" s="3" t="s">
        <v>53</v>
      </c>
      <c r="B49" s="3" t="str">
        <f t="shared" si="3"/>
        <v>ST SEPULCHRE</v>
      </c>
      <c r="C49" s="3" t="str">
        <f t="shared" si="4"/>
        <v>st sepulchre</v>
      </c>
      <c r="D49" s="3" t="str">
        <f t="shared" si="5"/>
        <v>St Sepulchre</v>
      </c>
    </row>
    <row r="50" spans="1:4">
      <c r="A50" s="3" t="s">
        <v>69</v>
      </c>
      <c r="B50" s="3" t="str">
        <f t="shared" si="3"/>
        <v>ST BRIDE, LONDON</v>
      </c>
      <c r="C50" s="3" t="str">
        <f t="shared" si="4"/>
        <v>st bride, london</v>
      </c>
      <c r="D50" s="3" t="str">
        <f t="shared" si="5"/>
        <v>St Bride, London</v>
      </c>
    </row>
    <row r="51" spans="1:4">
      <c r="A51" s="3" t="s">
        <v>34</v>
      </c>
      <c r="B51" s="3" t="str">
        <f t="shared" si="3"/>
        <v>ST MARTIN IN THE FIELDS</v>
      </c>
      <c r="C51" s="3" t="str">
        <f t="shared" si="4"/>
        <v>st martin in the fields</v>
      </c>
      <c r="D51" s="3" t="str">
        <f t="shared" si="5"/>
        <v>St Martin In The Fields</v>
      </c>
    </row>
    <row r="52" spans="1:4">
      <c r="A52" s="3" t="s">
        <v>70</v>
      </c>
      <c r="B52" s="3" t="str">
        <f t="shared" si="3"/>
        <v>ST EDMUNDTHE KING LOMBARD STREET, LONDON</v>
      </c>
      <c r="C52" s="3" t="str">
        <f t="shared" si="4"/>
        <v>st edmundthe king lombard street, london</v>
      </c>
      <c r="D52" s="3" t="str">
        <f t="shared" si="5"/>
        <v>St Edmundthe King Lombard Street, London</v>
      </c>
    </row>
    <row r="53" spans="1:4">
      <c r="A53" s="3" t="s">
        <v>71</v>
      </c>
      <c r="B53" s="3" t="str">
        <f t="shared" si="3"/>
        <v>ST GILES CRIPPLEGATE</v>
      </c>
      <c r="C53" s="3" t="str">
        <f t="shared" si="4"/>
        <v>st giles cripplegate</v>
      </c>
      <c r="D53" s="3" t="str">
        <f t="shared" si="5"/>
        <v>St Giles Cripplegate</v>
      </c>
    </row>
    <row r="54" spans="1:4">
      <c r="A54" s="3" t="s">
        <v>72</v>
      </c>
      <c r="B54" s="3" t="str">
        <f t="shared" si="3"/>
        <v>WESTMINSTER</v>
      </c>
      <c r="C54" s="3" t="str">
        <f t="shared" si="4"/>
        <v>westminster</v>
      </c>
      <c r="D54" s="3" t="str">
        <f t="shared" si="5"/>
        <v>Westminster</v>
      </c>
    </row>
    <row r="55" spans="1:4">
      <c r="A55" s="3" t="s">
        <v>73</v>
      </c>
      <c r="B55" s="3" t="str">
        <f t="shared" si="3"/>
        <v>FINCHAMSTEAD BERKS</v>
      </c>
      <c r="C55" s="3" t="str">
        <f t="shared" si="4"/>
        <v>finchamstead berks</v>
      </c>
      <c r="D55" s="3" t="str">
        <f t="shared" si="5"/>
        <v>Finchamstead Berks</v>
      </c>
    </row>
    <row r="56" spans="1:4">
      <c r="A56" s="6" t="s">
        <v>27</v>
      </c>
      <c r="B56" s="3" t="str">
        <f t="shared" si="3"/>
        <v>ST ANDREW HOLBORN</v>
      </c>
      <c r="C56" s="3" t="str">
        <f t="shared" si="4"/>
        <v>st andrew holborn</v>
      </c>
      <c r="D56" s="3" t="str">
        <f t="shared" si="5"/>
        <v>St Andrew Holborn</v>
      </c>
    </row>
    <row r="57" spans="1:4">
      <c r="A57" s="3" t="s">
        <v>74</v>
      </c>
      <c r="B57" s="3" t="str">
        <f t="shared" si="3"/>
        <v>ALFORD LINCOLN</v>
      </c>
      <c r="C57" s="3" t="str">
        <f t="shared" si="4"/>
        <v>alford lincoln</v>
      </c>
      <c r="D57" s="3" t="str">
        <f t="shared" si="5"/>
        <v>Alford Lincoln</v>
      </c>
    </row>
    <row r="58" spans="1:4">
      <c r="A58" s="3" t="s">
        <v>75</v>
      </c>
      <c r="B58" s="3" t="str">
        <f t="shared" si="3"/>
        <v>WALTHAM ABBEY, ESSEX</v>
      </c>
      <c r="C58" s="3" t="str">
        <f t="shared" si="4"/>
        <v>waltham abbey, essex</v>
      </c>
      <c r="D58" s="3" t="str">
        <f t="shared" si="5"/>
        <v>Waltham Abbey, Essex</v>
      </c>
    </row>
    <row r="59" spans="1:4">
      <c r="A59" s="3" t="s">
        <v>76</v>
      </c>
      <c r="B59" s="3" t="str">
        <f t="shared" si="3"/>
        <v>ISLINGTON, MIDDLESEX</v>
      </c>
      <c r="C59" s="3" t="str">
        <f t="shared" si="4"/>
        <v>islington, middlesex</v>
      </c>
      <c r="D59" s="3" t="str">
        <f t="shared" si="5"/>
        <v>Islington, Middlesex</v>
      </c>
    </row>
    <row r="60" spans="1:4">
      <c r="A60" s="3" t="s">
        <v>63</v>
      </c>
      <c r="B60" s="3" t="str">
        <f t="shared" si="3"/>
        <v>WINDSOR BERKS</v>
      </c>
      <c r="C60" s="3" t="str">
        <f t="shared" si="4"/>
        <v>windsor berks</v>
      </c>
      <c r="D60" s="3" t="str">
        <f t="shared" si="5"/>
        <v>Windsor Berks</v>
      </c>
    </row>
    <row r="61" spans="1:4">
      <c r="A61" s="3" t="s">
        <v>77</v>
      </c>
      <c r="B61" s="3" t="str">
        <f t="shared" si="3"/>
        <v>ST PETER LE POOR</v>
      </c>
      <c r="C61" s="3" t="str">
        <f t="shared" si="4"/>
        <v>st peter le poor</v>
      </c>
      <c r="D61" s="3" t="str">
        <f t="shared" si="5"/>
        <v>St Peter Le Poor</v>
      </c>
    </row>
    <row r="62" spans="1:4">
      <c r="A62" s="3" t="s">
        <v>34</v>
      </c>
      <c r="B62" s="3" t="str">
        <f t="shared" si="3"/>
        <v>ST MARTIN IN THE FIELDS</v>
      </c>
      <c r="C62" s="3" t="str">
        <f t="shared" si="4"/>
        <v>st martin in the fields</v>
      </c>
      <c r="D62" s="3" t="str">
        <f t="shared" si="5"/>
        <v>St Martin In The Fields</v>
      </c>
    </row>
    <row r="63" spans="1:4">
      <c r="A63" s="3" t="s">
        <v>78</v>
      </c>
      <c r="B63" s="3" t="str">
        <f t="shared" si="3"/>
        <v>ST JAMES CLERKENWELL</v>
      </c>
      <c r="C63" s="3" t="str">
        <f t="shared" si="4"/>
        <v>st james clerkenwell</v>
      </c>
      <c r="D63" s="3" t="str">
        <f t="shared" si="5"/>
        <v>St James Clerkenwell</v>
      </c>
    </row>
    <row r="64" spans="1:4">
      <c r="A64" s="3" t="s">
        <v>79</v>
      </c>
      <c r="B64" s="3" t="str">
        <f t="shared" si="3"/>
        <v>CHARLWOOD, SURREY</v>
      </c>
      <c r="C64" s="3" t="str">
        <f t="shared" si="4"/>
        <v>charlwood, surrey</v>
      </c>
      <c r="D64" s="3" t="str">
        <f t="shared" si="5"/>
        <v>Charlwood, Surrey</v>
      </c>
    </row>
    <row r="65" spans="1:4">
      <c r="A65" s="3" t="s">
        <v>61</v>
      </c>
      <c r="B65" s="3" t="str">
        <f t="shared" si="3"/>
        <v>ST DUNSTAN IN THE WEST</v>
      </c>
      <c r="C65" s="3" t="str">
        <f t="shared" si="4"/>
        <v>st dunstan in the west</v>
      </c>
      <c r="D65" s="3" t="str">
        <f t="shared" si="5"/>
        <v>St Dunstan In The West</v>
      </c>
    </row>
    <row r="66" spans="1:4">
      <c r="A66" s="3" t="s">
        <v>34</v>
      </c>
      <c r="B66" s="3" t="str">
        <f t="shared" si="3"/>
        <v>ST MARTIN IN THE FIELDS</v>
      </c>
      <c r="C66" s="3" t="str">
        <f t="shared" si="4"/>
        <v>st martin in the fields</v>
      </c>
      <c r="D66" s="3" t="str">
        <f t="shared" si="5"/>
        <v>St Martin In The Fields</v>
      </c>
    </row>
    <row r="67" spans="1:4">
      <c r="A67" s="3" t="s">
        <v>52</v>
      </c>
      <c r="B67" s="3" t="str">
        <f t="shared" si="3"/>
        <v>LAMBETH, SURREY</v>
      </c>
      <c r="C67" s="3" t="str">
        <f t="shared" si="4"/>
        <v>lambeth, surrey</v>
      </c>
      <c r="D67" s="3" t="str">
        <f t="shared" si="5"/>
        <v>Lambeth, Surrey</v>
      </c>
    </row>
    <row r="68" spans="1:4">
      <c r="A68" s="3" t="s">
        <v>80</v>
      </c>
      <c r="B68" s="3" t="str">
        <f>UPPER(A68)</f>
        <v>RUSPER SUSSEX</v>
      </c>
      <c r="C68" s="3" t="str">
        <f>LOWER(A68)</f>
        <v>rusper sussex</v>
      </c>
      <c r="D68" s="3" t="str">
        <f>PROPER(A68)</f>
        <v>Rusper Sussex</v>
      </c>
    </row>
    <row r="69" spans="1:4">
      <c r="A69" s="3" t="s">
        <v>81</v>
      </c>
      <c r="B69" s="3" t="str">
        <f>UPPER(A69)</f>
        <v>SITTINGBOURNE, KENT</v>
      </c>
      <c r="C69" s="3" t="str">
        <f>LOWER(A69)</f>
        <v>sittingbourne, kent</v>
      </c>
      <c r="D69" s="3" t="str">
        <f>PROPER(A69)</f>
        <v>Sittingbourne, Kent</v>
      </c>
    </row>
    <row r="70" spans="1:4">
      <c r="A70" s="3" t="s">
        <v>82</v>
      </c>
      <c r="B70" s="3" t="str">
        <f>UPPER(A70)</f>
        <v>ST ALBAN WOOD STREET, LONDON</v>
      </c>
      <c r="C70" s="3" t="str">
        <f>LOWER(A70)</f>
        <v>st alban wood street, london</v>
      </c>
      <c r="D70" s="3" t="str">
        <f>PROPER(A70)</f>
        <v>St Alban Wood Street, London</v>
      </c>
    </row>
    <row r="71" spans="1:4">
      <c r="A71" s="3" t="s">
        <v>76</v>
      </c>
      <c r="B71" s="3" t="str">
        <f>UPPER(A71)</f>
        <v>ISLINGTON, MIDDLESEX</v>
      </c>
      <c r="C71" s="3" t="str">
        <f>LOWER(A71)</f>
        <v>islington, middlesex</v>
      </c>
      <c r="D71" s="3" t="str">
        <f>PROPER(A71)</f>
        <v>Islington, Middlesex</v>
      </c>
    </row>
    <row r="72" spans="1:4">
      <c r="A72" s="3" t="s">
        <v>83</v>
      </c>
      <c r="B72" s="3" t="str">
        <f>UPPER(A72)</f>
        <v>ICKINGHAM, MIDDLESEX</v>
      </c>
      <c r="C72" s="3" t="str">
        <f>LOWER(A72)</f>
        <v>ickingham, middlesex</v>
      </c>
      <c r="D72" s="3" t="str">
        <f>PROPER(A72)</f>
        <v>Ickingham, Middlesex</v>
      </c>
    </row>
    <row r="73" spans="1:4">
      <c r="A73" s="3" t="s">
        <v>84</v>
      </c>
      <c r="B73" s="3" t="str">
        <f>UPPER(A73)</f>
        <v>ST MARY WHITECHAPEL</v>
      </c>
      <c r="C73" s="3" t="str">
        <f>LOWER(A73)</f>
        <v>st mary whitechapel</v>
      </c>
      <c r="D73" s="3" t="str">
        <f>PROPER(A73)</f>
        <v>St Mary Whitechapel</v>
      </c>
    </row>
    <row r="74" spans="1:4">
      <c r="A74" s="3" t="s">
        <v>85</v>
      </c>
      <c r="B74" s="3" t="str">
        <f>UPPER(A74)</f>
        <v>MAIDEN LANE, LONDON</v>
      </c>
      <c r="C74" s="3" t="str">
        <f>LOWER(A74)</f>
        <v>maiden lane, london</v>
      </c>
      <c r="D74" s="3" t="str">
        <f>PROPER(A74)</f>
        <v>Maiden Lane, London</v>
      </c>
    </row>
    <row r="75" spans="1:4">
      <c r="A75" s="3" t="s">
        <v>86</v>
      </c>
      <c r="B75" s="3" t="str">
        <f>UPPER(A75)</f>
        <v>ST CATHERINE COLEMAN, LONDON</v>
      </c>
      <c r="C75" s="3" t="str">
        <f>LOWER(A75)</f>
        <v>st catherine coleman, london</v>
      </c>
      <c r="D75" s="3" t="str">
        <f>PROPER(A75)</f>
        <v>St Catherine Coleman, London</v>
      </c>
    </row>
    <row r="76" spans="1:4">
      <c r="A76" s="3" t="s">
        <v>87</v>
      </c>
      <c r="B76" s="3" t="str">
        <f>UPPER(A76)</f>
        <v>ISLINGTON</v>
      </c>
      <c r="C76" s="3" t="str">
        <f>LOWER(A76)</f>
        <v>islington</v>
      </c>
      <c r="D76" s="3" t="str">
        <f>PROPER(A76)</f>
        <v>Islington</v>
      </c>
    </row>
    <row r="77" spans="1:4">
      <c r="A77" s="3" t="s">
        <v>88</v>
      </c>
      <c r="B77" s="3" t="str">
        <f>UPPER(A77)</f>
        <v>ST BOTOLPH BILLINGSGATE</v>
      </c>
      <c r="C77" s="3" t="str">
        <f>LOWER(A77)</f>
        <v>st botolph billingsgate</v>
      </c>
      <c r="D77" s="3" t="str">
        <f>PROPER(A77)</f>
        <v>St Botolph Billingsgate</v>
      </c>
    </row>
    <row r="78" spans="1:4">
      <c r="A78" s="3" t="s">
        <v>89</v>
      </c>
      <c r="B78" s="3" t="str">
        <f>UPPER(A78)</f>
        <v>NICHOLAS LANE, LONDON</v>
      </c>
      <c r="C78" s="3" t="str">
        <f>LOWER(A78)</f>
        <v>nicholas lane, london</v>
      </c>
      <c r="D78" s="3" t="str">
        <f>PROPER(A78)</f>
        <v>Nicholas Lane, London</v>
      </c>
    </row>
    <row r="79" spans="1:4">
      <c r="A79" s="3" t="s">
        <v>90</v>
      </c>
      <c r="B79" s="3" t="str">
        <f>UPPER(A79)</f>
        <v>CORBY KESTEVEN LINCOLN, LONDON</v>
      </c>
      <c r="C79" s="3" t="str">
        <f>LOWER(A79)</f>
        <v>corby kesteven lincoln, london</v>
      </c>
      <c r="D79" s="3" t="str">
        <f>PROPER(A79)</f>
        <v>Corby Kesteven Lincoln, London</v>
      </c>
    </row>
    <row r="80" spans="1:4">
      <c r="A80" s="3" t="s">
        <v>91</v>
      </c>
      <c r="B80" s="3" t="str">
        <f>UPPER(A80)</f>
        <v>HENLEY ON THAMES</v>
      </c>
      <c r="C80" s="3" t="str">
        <f>LOWER(A80)</f>
        <v>henley on thames</v>
      </c>
      <c r="D80" s="3" t="str">
        <f>PROPER(A80)</f>
        <v>Henley On Thames</v>
      </c>
    </row>
    <row r="81" spans="1:4">
      <c r="A81" s="3" t="s">
        <v>92</v>
      </c>
      <c r="B81" s="3" t="str">
        <f>UPPER(A81)</f>
        <v>CROYDON, SURREY</v>
      </c>
      <c r="C81" s="3" t="str">
        <f>LOWER(A81)</f>
        <v>croydon, surrey</v>
      </c>
      <c r="D81" s="3" t="str">
        <f>PROPER(A81)</f>
        <v>Croydon, Surrey</v>
      </c>
    </row>
  </sheetData>
  <pageMargins left="0.75" right="0.75" top="1" bottom="1" header="0.5" footer="0.5"/>
  <pageSetup paperSize="1" orientation="portrait" horizontalDpi="600" verticalDpi="6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1"/>
  <sheetViews>
    <sheetView workbookViewId="0">
      <selection activeCell="A1" sqref="A1"/>
    </sheetView>
  </sheetViews>
  <sheetFormatPr defaultColWidth="9.14285714285714" defaultRowHeight="15"/>
  <cols>
    <col min="1" max="1" width="11.5714285714286" style="5" customWidth="1"/>
  </cols>
  <sheetData>
    <row r="1" spans="1:1">
      <c r="A1" s="12" t="s">
        <v>93</v>
      </c>
    </row>
    <row r="2" spans="1:1">
      <c r="A2" s="8" t="s">
        <v>0</v>
      </c>
    </row>
    <row r="3" spans="1:1">
      <c r="A3" s="9" t="s">
        <v>94</v>
      </c>
    </row>
    <row r="4" spans="1:1">
      <c r="A4" s="9" t="s">
        <v>95</v>
      </c>
    </row>
    <row r="5" spans="1:1">
      <c r="A5" s="9" t="s">
        <v>96</v>
      </c>
    </row>
    <row r="6" spans="1:1">
      <c r="A6" s="9" t="s">
        <v>97</v>
      </c>
    </row>
    <row r="7" spans="1:1">
      <c r="A7" s="9" t="s">
        <v>98</v>
      </c>
    </row>
    <row r="8" spans="1:1">
      <c r="A8" s="9" t="s">
        <v>5</v>
      </c>
    </row>
    <row r="9" spans="1:1">
      <c r="A9" s="9" t="s">
        <v>11</v>
      </c>
    </row>
    <row r="10" spans="1:1">
      <c r="A10" s="9" t="s">
        <v>99</v>
      </c>
    </row>
    <row r="11" spans="1:1">
      <c r="A11" s="9" t="s">
        <v>100</v>
      </c>
    </row>
    <row r="12" spans="1:1">
      <c r="A12" s="9" t="s">
        <v>101</v>
      </c>
    </row>
    <row r="13" spans="1:1">
      <c r="A13" s="9" t="s">
        <v>102</v>
      </c>
    </row>
    <row r="14" spans="1:1">
      <c r="A14" s="9" t="s">
        <v>103</v>
      </c>
    </row>
    <row r="15" spans="1:1">
      <c r="A15" s="9" t="s">
        <v>14</v>
      </c>
    </row>
    <row r="16" spans="1:1">
      <c r="A16" s="9" t="s">
        <v>104</v>
      </c>
    </row>
    <row r="17" spans="1:1">
      <c r="A17" s="9" t="s">
        <v>105</v>
      </c>
    </row>
    <row r="18" spans="1:1">
      <c r="A18" s="9" t="s">
        <v>106</v>
      </c>
    </row>
    <row r="19" spans="1:1">
      <c r="A19" s="9" t="s">
        <v>107</v>
      </c>
    </row>
    <row r="20" spans="1:1">
      <c r="A20" s="9" t="s">
        <v>108</v>
      </c>
    </row>
    <row r="21" spans="1:1">
      <c r="A21" s="9" t="s">
        <v>16</v>
      </c>
    </row>
    <row r="22" spans="1:1">
      <c r="A22" s="9" t="s">
        <v>17</v>
      </c>
    </row>
    <row r="23" spans="1:1">
      <c r="A23" s="9" t="s">
        <v>109</v>
      </c>
    </row>
    <row r="24" spans="1:1">
      <c r="A24" s="9" t="s">
        <v>110</v>
      </c>
    </row>
    <row r="25" spans="1:1">
      <c r="A25" s="9" t="s">
        <v>111</v>
      </c>
    </row>
    <row r="26" spans="1:1">
      <c r="A26" s="9" t="s">
        <v>112</v>
      </c>
    </row>
    <row r="27" spans="1:1">
      <c r="A27" s="9" t="s">
        <v>15</v>
      </c>
    </row>
    <row r="28" spans="1:1">
      <c r="A28" s="9" t="s">
        <v>113</v>
      </c>
    </row>
    <row r="29" spans="1:1">
      <c r="A29" s="9" t="s">
        <v>114</v>
      </c>
    </row>
    <row r="30" spans="1:1">
      <c r="A30" s="9" t="s">
        <v>115</v>
      </c>
    </row>
    <row r="31" spans="1:1">
      <c r="A31" s="9" t="s">
        <v>116</v>
      </c>
    </row>
    <row r="32" spans="1:1">
      <c r="A32" s="9" t="s">
        <v>117</v>
      </c>
    </row>
    <row r="33" spans="1:1">
      <c r="A33" s="9" t="s">
        <v>118</v>
      </c>
    </row>
    <row r="34" spans="1:1">
      <c r="A34" s="9" t="s">
        <v>119</v>
      </c>
    </row>
    <row r="35" spans="1:1">
      <c r="A35" s="9" t="s">
        <v>120</v>
      </c>
    </row>
    <row r="36" spans="1:1">
      <c r="A36" s="9" t="s">
        <v>121</v>
      </c>
    </row>
    <row r="37" spans="1:1">
      <c r="A37" s="9" t="s">
        <v>122</v>
      </c>
    </row>
    <row r="38" spans="1:1">
      <c r="A38" s="9" t="s">
        <v>123</v>
      </c>
    </row>
    <row r="39" spans="1:1">
      <c r="A39" s="9" t="s">
        <v>124</v>
      </c>
    </row>
    <row r="40" spans="1:1">
      <c r="A40" s="9" t="s">
        <v>125</v>
      </c>
    </row>
    <row r="41" spans="1:1">
      <c r="A41" s="9" t="s">
        <v>10</v>
      </c>
    </row>
    <row r="42" spans="1:1">
      <c r="A42" s="9" t="s">
        <v>126</v>
      </c>
    </row>
    <row r="43" spans="1:1">
      <c r="A43" s="9" t="s">
        <v>127</v>
      </c>
    </row>
    <row r="44" spans="1:1">
      <c r="A44" s="9" t="s">
        <v>128</v>
      </c>
    </row>
    <row r="45" spans="1:1">
      <c r="A45" s="9" t="s">
        <v>129</v>
      </c>
    </row>
    <row r="46" spans="1:1">
      <c r="A46" s="9" t="s">
        <v>130</v>
      </c>
    </row>
    <row r="47" spans="1:1">
      <c r="A47" s="9" t="s">
        <v>131</v>
      </c>
    </row>
    <row r="48" spans="1:1">
      <c r="A48" s="9" t="s">
        <v>132</v>
      </c>
    </row>
    <row r="49" spans="1:1">
      <c r="A49" s="9" t="s">
        <v>133</v>
      </c>
    </row>
    <row r="50" spans="1:1">
      <c r="A50" s="9" t="s">
        <v>134</v>
      </c>
    </row>
    <row r="51" spans="1:1">
      <c r="A51" s="9" t="s">
        <v>135</v>
      </c>
    </row>
    <row r="52" spans="1:1">
      <c r="A52" s="9" t="s">
        <v>136</v>
      </c>
    </row>
    <row r="53" spans="1:1">
      <c r="A53" s="9" t="s">
        <v>137</v>
      </c>
    </row>
    <row r="54" spans="1:1">
      <c r="A54" s="9" t="s">
        <v>138</v>
      </c>
    </row>
    <row r="55" spans="1:1">
      <c r="A55" s="9" t="s">
        <v>139</v>
      </c>
    </row>
    <row r="56" spans="1:1">
      <c r="A56" s="9" t="s">
        <v>140</v>
      </c>
    </row>
    <row r="57" spans="1:1">
      <c r="A57" s="9" t="s">
        <v>141</v>
      </c>
    </row>
    <row r="58" spans="1:1">
      <c r="A58" s="9" t="s">
        <v>18</v>
      </c>
    </row>
    <row r="59" spans="1:1">
      <c r="A59" s="9" t="s">
        <v>142</v>
      </c>
    </row>
    <row r="60" spans="1:1">
      <c r="A60" s="9" t="s">
        <v>143</v>
      </c>
    </row>
    <row r="61" spans="1:1">
      <c r="A61" s="9" t="s">
        <v>144</v>
      </c>
    </row>
    <row r="62" spans="1:1">
      <c r="A62" s="9" t="s">
        <v>13</v>
      </c>
    </row>
    <row r="63" spans="1:1">
      <c r="A63" s="9" t="s">
        <v>145</v>
      </c>
    </row>
    <row r="64" spans="1:1">
      <c r="A64" s="9" t="s">
        <v>146</v>
      </c>
    </row>
    <row r="65" spans="1:1">
      <c r="A65" s="9" t="s">
        <v>147</v>
      </c>
    </row>
    <row r="66" spans="1:1">
      <c r="A66" s="9" t="s">
        <v>148</v>
      </c>
    </row>
    <row r="67" spans="1:1">
      <c r="A67" s="9" t="s">
        <v>149</v>
      </c>
    </row>
    <row r="68" spans="1:1">
      <c r="A68" s="9" t="s">
        <v>150</v>
      </c>
    </row>
    <row r="69" spans="1:1">
      <c r="A69" s="9" t="s">
        <v>151</v>
      </c>
    </row>
    <row r="70" spans="1:1">
      <c r="A70" s="9" t="s">
        <v>152</v>
      </c>
    </row>
    <row r="71" spans="1:1">
      <c r="A71" s="9" t="s">
        <v>153</v>
      </c>
    </row>
    <row r="72" spans="1:1">
      <c r="A72" s="9" t="s">
        <v>154</v>
      </c>
    </row>
    <row r="73" spans="1:1">
      <c r="A73" s="9" t="s">
        <v>155</v>
      </c>
    </row>
    <row r="74" spans="1:1">
      <c r="A74" s="9" t="s">
        <v>156</v>
      </c>
    </row>
    <row r="75" spans="1:1">
      <c r="A75" s="9" t="s">
        <v>157</v>
      </c>
    </row>
    <row r="76" spans="1:1">
      <c r="A76" s="9" t="s">
        <v>158</v>
      </c>
    </row>
    <row r="77" spans="1:1">
      <c r="A77" s="9" t="s">
        <v>159</v>
      </c>
    </row>
    <row r="78" spans="1:1">
      <c r="A78" s="9" t="s">
        <v>160</v>
      </c>
    </row>
    <row r="79" spans="1:1">
      <c r="A79" s="9" t="s">
        <v>161</v>
      </c>
    </row>
    <row r="80" spans="1:1">
      <c r="A80" s="9" t="s">
        <v>8</v>
      </c>
    </row>
    <row r="81" spans="1:1">
      <c r="A81" s="13" t="s">
        <v>12</v>
      </c>
    </row>
  </sheetData>
  <sortState ref="A3:A81">
    <sortCondition ref="A3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1"/>
  <sheetViews>
    <sheetView workbookViewId="0">
      <selection activeCell="A1" sqref="A1"/>
    </sheetView>
  </sheetViews>
  <sheetFormatPr defaultColWidth="9.14285714285714" defaultRowHeight="15"/>
  <cols>
    <col min="1" max="1" width="20.5714285714286" style="5" customWidth="1"/>
  </cols>
  <sheetData>
    <row r="1" ht="12.75" spans="1:1">
      <c r="A1" s="1" t="s">
        <v>162</v>
      </c>
    </row>
    <row r="2" spans="1:1">
      <c r="A2" s="8" t="s">
        <v>163</v>
      </c>
    </row>
    <row r="3" spans="1:1">
      <c r="A3" s="6" t="s">
        <v>164</v>
      </c>
    </row>
    <row r="4" spans="1:1">
      <c r="A4" s="6" t="s">
        <v>165</v>
      </c>
    </row>
    <row r="5" spans="1:1">
      <c r="A5" s="6" t="s">
        <v>165</v>
      </c>
    </row>
    <row r="6" spans="1:1">
      <c r="A6" s="6" t="s">
        <v>166</v>
      </c>
    </row>
    <row r="7" spans="1:1">
      <c r="A7" s="6" t="s">
        <v>167</v>
      </c>
    </row>
    <row r="8" spans="1:1">
      <c r="A8" s="6" t="s">
        <v>167</v>
      </c>
    </row>
    <row r="9" spans="1:1">
      <c r="A9" s="6" t="s">
        <v>167</v>
      </c>
    </row>
    <row r="10" spans="1:1">
      <c r="A10" s="6" t="s">
        <v>167</v>
      </c>
    </row>
    <row r="11" spans="1:1">
      <c r="A11" s="6" t="s">
        <v>168</v>
      </c>
    </row>
    <row r="12" spans="1:1">
      <c r="A12" s="6" t="s">
        <v>168</v>
      </c>
    </row>
    <row r="13" spans="1:1">
      <c r="A13" s="6" t="s">
        <v>169</v>
      </c>
    </row>
    <row r="14" spans="1:1">
      <c r="A14" s="6" t="s">
        <v>170</v>
      </c>
    </row>
    <row r="15" spans="1:1">
      <c r="A15" s="6" t="s">
        <v>170</v>
      </c>
    </row>
    <row r="16" spans="1:1">
      <c r="A16" s="6" t="s">
        <v>170</v>
      </c>
    </row>
    <row r="17" spans="1:1">
      <c r="A17" s="6" t="s">
        <v>170</v>
      </c>
    </row>
    <row r="18" spans="1:1">
      <c r="A18" s="6" t="s">
        <v>170</v>
      </c>
    </row>
    <row r="19" spans="1:1">
      <c r="A19" s="6" t="s">
        <v>170</v>
      </c>
    </row>
    <row r="20" spans="1:1">
      <c r="A20" s="6" t="s">
        <v>170</v>
      </c>
    </row>
    <row r="21" spans="1:1">
      <c r="A21" s="6" t="s">
        <v>170</v>
      </c>
    </row>
    <row r="22" spans="1:1">
      <c r="A22" s="6" t="s">
        <v>170</v>
      </c>
    </row>
    <row r="23" spans="1:1">
      <c r="A23" s="6" t="s">
        <v>170</v>
      </c>
    </row>
    <row r="24" spans="1:1">
      <c r="A24" s="6" t="s">
        <v>170</v>
      </c>
    </row>
    <row r="25" spans="1:1">
      <c r="A25" s="6" t="s">
        <v>170</v>
      </c>
    </row>
    <row r="26" spans="1:1">
      <c r="A26" s="6" t="s">
        <v>170</v>
      </c>
    </row>
    <row r="27" spans="1:1">
      <c r="A27" s="6" t="s">
        <v>170</v>
      </c>
    </row>
    <row r="28" spans="1:1">
      <c r="A28" s="6" t="s">
        <v>170</v>
      </c>
    </row>
    <row r="29" spans="1:1">
      <c r="A29" s="6" t="s">
        <v>171</v>
      </c>
    </row>
    <row r="30" spans="1:1">
      <c r="A30" s="6" t="s">
        <v>171</v>
      </c>
    </row>
    <row r="31" spans="1:1">
      <c r="A31" s="6" t="s">
        <v>171</v>
      </c>
    </row>
    <row r="32" spans="1:1">
      <c r="A32" s="6" t="s">
        <v>171</v>
      </c>
    </row>
    <row r="33" spans="1:1">
      <c r="A33" s="6" t="s">
        <v>171</v>
      </c>
    </row>
    <row r="34" spans="1:1">
      <c r="A34" s="6" t="s">
        <v>171</v>
      </c>
    </row>
    <row r="35" spans="1:1">
      <c r="A35" s="6" t="s">
        <v>171</v>
      </c>
    </row>
    <row r="36" spans="1:1">
      <c r="A36" s="6" t="s">
        <v>171</v>
      </c>
    </row>
    <row r="37" spans="1:1">
      <c r="A37" s="6" t="s">
        <v>171</v>
      </c>
    </row>
    <row r="38" spans="1:1">
      <c r="A38" s="6" t="s">
        <v>171</v>
      </c>
    </row>
    <row r="39" spans="1:1">
      <c r="A39" s="6" t="s">
        <v>171</v>
      </c>
    </row>
    <row r="40" spans="1:1">
      <c r="A40" s="6" t="s">
        <v>171</v>
      </c>
    </row>
    <row r="41" spans="1:1">
      <c r="A41" s="6" t="s">
        <v>171</v>
      </c>
    </row>
    <row r="42" spans="1:1">
      <c r="A42" s="6" t="s">
        <v>171</v>
      </c>
    </row>
    <row r="43" spans="1:1">
      <c r="A43" s="6" t="s">
        <v>171</v>
      </c>
    </row>
    <row r="44" spans="1:1">
      <c r="A44" s="6" t="s">
        <v>171</v>
      </c>
    </row>
    <row r="45" spans="1:1">
      <c r="A45" s="6" t="s">
        <v>171</v>
      </c>
    </row>
    <row r="46" spans="1:1">
      <c r="A46" s="6" t="s">
        <v>171</v>
      </c>
    </row>
    <row r="47" spans="1:1">
      <c r="A47" s="6" t="s">
        <v>171</v>
      </c>
    </row>
    <row r="48" spans="1:1">
      <c r="A48" s="6" t="s">
        <v>171</v>
      </c>
    </row>
    <row r="49" spans="1:1">
      <c r="A49" s="6" t="s">
        <v>171</v>
      </c>
    </row>
    <row r="50" spans="1:1">
      <c r="A50" s="6" t="s">
        <v>171</v>
      </c>
    </row>
    <row r="51" spans="1:1">
      <c r="A51" s="6" t="s">
        <v>171</v>
      </c>
    </row>
    <row r="52" spans="1:1">
      <c r="A52" s="6" t="s">
        <v>171</v>
      </c>
    </row>
    <row r="53" spans="1:1">
      <c r="A53" s="6" t="s">
        <v>171</v>
      </c>
    </row>
    <row r="54" spans="1:1">
      <c r="A54" s="6" t="s">
        <v>171</v>
      </c>
    </row>
    <row r="55" spans="1:1">
      <c r="A55" s="6" t="s">
        <v>171</v>
      </c>
    </row>
    <row r="56" spans="1:1">
      <c r="A56" s="6" t="s">
        <v>171</v>
      </c>
    </row>
    <row r="57" spans="1:1">
      <c r="A57" s="6" t="s">
        <v>171</v>
      </c>
    </row>
    <row r="58" spans="1:1">
      <c r="A58" s="6" t="s">
        <v>171</v>
      </c>
    </row>
    <row r="59" spans="1:1">
      <c r="A59" s="6" t="s">
        <v>171</v>
      </c>
    </row>
    <row r="60" spans="1:1">
      <c r="A60" s="6" t="s">
        <v>171</v>
      </c>
    </row>
    <row r="61" spans="1:1">
      <c r="A61" s="6" t="s">
        <v>171</v>
      </c>
    </row>
    <row r="62" spans="1:1">
      <c r="A62" s="6" t="s">
        <v>171</v>
      </c>
    </row>
    <row r="63" spans="1:1">
      <c r="A63" s="6" t="s">
        <v>171</v>
      </c>
    </row>
    <row r="64" spans="1:1">
      <c r="A64" s="6" t="s">
        <v>171</v>
      </c>
    </row>
    <row r="65" spans="1:1">
      <c r="A65" s="6" t="s">
        <v>171</v>
      </c>
    </row>
    <row r="66" spans="1:1">
      <c r="A66" s="6" t="s">
        <v>171</v>
      </c>
    </row>
    <row r="67" spans="1:1">
      <c r="A67" s="6" t="s">
        <v>171</v>
      </c>
    </row>
    <row r="68" spans="1:1">
      <c r="A68" s="6" t="s">
        <v>171</v>
      </c>
    </row>
    <row r="69" spans="1:1">
      <c r="A69" s="6" t="s">
        <v>171</v>
      </c>
    </row>
    <row r="70" spans="1:1">
      <c r="A70" s="6" t="s">
        <v>171</v>
      </c>
    </row>
    <row r="71" spans="1:1">
      <c r="A71" s="6" t="s">
        <v>171</v>
      </c>
    </row>
    <row r="72" spans="1:1">
      <c r="A72" s="6" t="s">
        <v>171</v>
      </c>
    </row>
    <row r="73" spans="1:1">
      <c r="A73" s="6" t="s">
        <v>172</v>
      </c>
    </row>
    <row r="74" spans="1:1">
      <c r="A74" s="6" t="s">
        <v>173</v>
      </c>
    </row>
    <row r="75" spans="1:1">
      <c r="A75" s="6" t="s">
        <v>174</v>
      </c>
    </row>
    <row r="76" spans="1:1">
      <c r="A76" s="6" t="s">
        <v>174</v>
      </c>
    </row>
    <row r="77" spans="1:1">
      <c r="A77" s="6" t="s">
        <v>174</v>
      </c>
    </row>
    <row r="78" spans="1:1">
      <c r="A78" s="6" t="s">
        <v>174</v>
      </c>
    </row>
    <row r="79" spans="1:1">
      <c r="A79" s="6" t="s">
        <v>175</v>
      </c>
    </row>
    <row r="80" spans="1:1">
      <c r="A80" s="6" t="s">
        <v>176</v>
      </c>
    </row>
    <row r="81" spans="1:1">
      <c r="A81" s="6" t="s">
        <v>177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workbookViewId="0">
      <selection activeCell="A1" sqref="A1"/>
    </sheetView>
  </sheetViews>
  <sheetFormatPr defaultColWidth="9.14285714285714" defaultRowHeight="15" outlineLevelCol="2"/>
  <cols>
    <col min="1" max="1" width="46.5714285714286" style="5" customWidth="1"/>
    <col min="2" max="2" width="45.7142857142857" style="5" customWidth="1"/>
    <col min="3" max="3" width="15.2857142857143" style="5" customWidth="1"/>
    <col min="4" max="16384" width="9.14285714285714" style="5"/>
  </cols>
  <sheetData>
    <row r="1" spans="1:1">
      <c r="A1" s="1" t="s">
        <v>178</v>
      </c>
    </row>
    <row r="2" spans="1:3">
      <c r="A2" s="8" t="s">
        <v>0</v>
      </c>
      <c r="B2" s="2" t="s">
        <v>21</v>
      </c>
      <c r="C2" s="2" t="s">
        <v>179</v>
      </c>
    </row>
    <row r="3" spans="1:3">
      <c r="A3" s="9" t="s">
        <v>124</v>
      </c>
      <c r="B3" s="3" t="s">
        <v>180</v>
      </c>
      <c r="C3" s="3" t="str">
        <f>CONCATENATE(A3,B3)</f>
        <v>Edward &amp; Sutton, Surrey</v>
      </c>
    </row>
    <row r="4" spans="1:3">
      <c r="A4" s="9" t="s">
        <v>109</v>
      </c>
      <c r="B4" s="3" t="s">
        <v>181</v>
      </c>
      <c r="C4" s="3" t="str">
        <f t="shared" ref="C4:C35" si="0">CONCATENATE(A4,B4)</f>
        <v>Bobert &amp; Great St Helen, London</v>
      </c>
    </row>
    <row r="5" spans="1:3">
      <c r="A5" s="9" t="s">
        <v>137</v>
      </c>
      <c r="B5" s="3" t="s">
        <v>182</v>
      </c>
      <c r="C5" s="3" t="str">
        <f t="shared" si="0"/>
        <v>Keightley &amp; St Andrew Holborn</v>
      </c>
    </row>
    <row r="6" spans="1:3">
      <c r="A6" s="9" t="s">
        <v>160</v>
      </c>
      <c r="B6" s="3" t="s">
        <v>183</v>
      </c>
      <c r="C6" s="3" t="str">
        <f t="shared" si="0"/>
        <v>Warren &amp; Wapping, Middlesex</v>
      </c>
    </row>
    <row r="7" spans="1:3">
      <c r="A7" s="9" t="s">
        <v>95</v>
      </c>
      <c r="B7" s="3" t="s">
        <v>184</v>
      </c>
      <c r="C7" s="3" t="str">
        <f t="shared" si="0"/>
        <v>Abdiel &amp; Horne, Surrey</v>
      </c>
    </row>
    <row r="8" spans="1:3">
      <c r="A8" s="9" t="s">
        <v>120</v>
      </c>
      <c r="B8" s="3" t="s">
        <v>185</v>
      </c>
      <c r="C8" s="3" t="str">
        <f t="shared" si="0"/>
        <v>Denis &amp; Hornsoy, Middlesex</v>
      </c>
    </row>
    <row r="9" spans="1:3">
      <c r="A9" s="9" t="s">
        <v>10</v>
      </c>
      <c r="B9" s="3" t="s">
        <v>186</v>
      </c>
      <c r="C9" s="3" t="str">
        <f t="shared" si="0"/>
        <v>Elias &amp; Godmersham, Kent</v>
      </c>
    </row>
    <row r="10" spans="1:3">
      <c r="A10" s="9" t="s">
        <v>132</v>
      </c>
      <c r="B10" s="3" t="s">
        <v>187</v>
      </c>
      <c r="C10" s="3" t="str">
        <f t="shared" si="0"/>
        <v>Herbert &amp; Heath, Middlesex</v>
      </c>
    </row>
    <row r="11" spans="1:3">
      <c r="A11" s="9" t="s">
        <v>102</v>
      </c>
      <c r="B11" s="3" t="s">
        <v>188</v>
      </c>
      <c r="C11" s="3" t="str">
        <f t="shared" si="0"/>
        <v>Bennet &amp; Aldermanbury, London</v>
      </c>
    </row>
    <row r="12" spans="1:3">
      <c r="A12" s="9" t="s">
        <v>13</v>
      </c>
      <c r="B12" s="3" t="s">
        <v>189</v>
      </c>
      <c r="C12" s="3" t="str">
        <f t="shared" si="0"/>
        <v>Oslande &amp; St Martin In The Fields</v>
      </c>
    </row>
    <row r="13" spans="1:3">
      <c r="A13" s="9" t="s">
        <v>141</v>
      </c>
      <c r="B13" s="3" t="s">
        <v>190</v>
      </c>
      <c r="C13" s="3" t="str">
        <f t="shared" si="0"/>
        <v>Maplesden &amp; Eastwood, Essex</v>
      </c>
    </row>
    <row r="14" spans="1:3">
      <c r="A14" s="9" t="s">
        <v>100</v>
      </c>
      <c r="B14" s="3" t="s">
        <v>191</v>
      </c>
      <c r="C14" s="3" t="str">
        <f t="shared" si="0"/>
        <v>Beningfield &amp; Bradwell Jaxta Mare, Middlesex</v>
      </c>
    </row>
    <row r="15" spans="1:3">
      <c r="A15" s="9" t="s">
        <v>101</v>
      </c>
      <c r="B15" s="3" t="s">
        <v>192</v>
      </c>
      <c r="C15" s="3" t="str">
        <f t="shared" si="0"/>
        <v>Benjamin &amp; Ham Charleton Kings, Gloucester</v>
      </c>
    </row>
    <row r="16" spans="1:3">
      <c r="A16" s="9" t="s">
        <v>105</v>
      </c>
      <c r="B16" s="3" t="s">
        <v>193</v>
      </c>
      <c r="C16" s="3" t="str">
        <f t="shared" si="0"/>
        <v>Berkley &amp; Stbotolph Aldersgate</v>
      </c>
    </row>
    <row r="17" spans="1:3">
      <c r="A17" s="9" t="s">
        <v>107</v>
      </c>
      <c r="B17" s="3" t="s">
        <v>194</v>
      </c>
      <c r="C17" s="3" t="str">
        <f t="shared" si="0"/>
        <v>Bevis &amp; St Lawrence, London</v>
      </c>
    </row>
    <row r="18" spans="1:3">
      <c r="A18" s="9" t="s">
        <v>108</v>
      </c>
      <c r="B18" s="3" t="s">
        <v>195</v>
      </c>
      <c r="C18" s="3" t="str">
        <f t="shared" si="0"/>
        <v>Bezaleel &amp; Lomster Horeford</v>
      </c>
    </row>
    <row r="19" spans="1:3">
      <c r="A19" s="9" t="s">
        <v>110</v>
      </c>
      <c r="B19" s="3" t="s">
        <v>196</v>
      </c>
      <c r="C19" s="3" t="str">
        <f t="shared" si="0"/>
        <v>Constantine &amp; St Martin In The Fields, Middlesex</v>
      </c>
    </row>
    <row r="20" spans="1:3">
      <c r="A20" s="9" t="s">
        <v>118</v>
      </c>
      <c r="B20" s="3" t="s">
        <v>197</v>
      </c>
      <c r="C20" s="3" t="str">
        <f t="shared" si="0"/>
        <v>Cyriac &amp; Keire Worcester</v>
      </c>
    </row>
    <row r="21" spans="1:3">
      <c r="A21" s="9" t="s">
        <v>119</v>
      </c>
      <c r="B21" s="3" t="s">
        <v>198</v>
      </c>
      <c r="C21" s="3" t="str">
        <f t="shared" si="0"/>
        <v>Demetrius &amp; St Giles In The Fields, Middlesex</v>
      </c>
    </row>
    <row r="22" spans="1:3">
      <c r="A22" s="9" t="s">
        <v>135</v>
      </c>
      <c r="B22" s="3" t="s">
        <v>189</v>
      </c>
      <c r="C22" s="3" t="str">
        <f t="shared" si="0"/>
        <v>Jolles &amp; St Martin In The Fields</v>
      </c>
    </row>
    <row r="23" spans="1:3">
      <c r="A23" s="9" t="s">
        <v>136</v>
      </c>
      <c r="B23" s="3" t="s">
        <v>199</v>
      </c>
      <c r="C23" s="3" t="str">
        <f t="shared" si="0"/>
        <v>Keate &amp; St Clement Danes</v>
      </c>
    </row>
    <row r="24" spans="1:3">
      <c r="A24" s="9" t="s">
        <v>140</v>
      </c>
      <c r="B24" s="3" t="s">
        <v>200</v>
      </c>
      <c r="C24" s="3" t="str">
        <f t="shared" si="0"/>
        <v>Lestrange &amp; Blackdon Devon</v>
      </c>
    </row>
    <row r="25" spans="1:3">
      <c r="A25" s="9" t="s">
        <v>18</v>
      </c>
      <c r="B25" s="3" t="s">
        <v>201</v>
      </c>
      <c r="C25" s="3" t="str">
        <f t="shared" si="0"/>
        <v>Margetta &amp; St Anne Westminster</v>
      </c>
    </row>
    <row r="26" spans="1:3">
      <c r="A26" s="9" t="s">
        <v>143</v>
      </c>
      <c r="B26" s="3" t="s">
        <v>202</v>
      </c>
      <c r="C26" s="3" t="str">
        <f t="shared" si="0"/>
        <v>Newstead &amp; St George Botolph Lane, London</v>
      </c>
    </row>
    <row r="27" spans="1:3">
      <c r="A27" s="9" t="s">
        <v>144</v>
      </c>
      <c r="B27" s="3" t="s">
        <v>203</v>
      </c>
      <c r="C27" s="3" t="str">
        <f t="shared" si="0"/>
        <v>Orby &amp; Boddington, Surrey</v>
      </c>
    </row>
    <row r="28" spans="1:3">
      <c r="A28" s="9" t="s">
        <v>12</v>
      </c>
      <c r="B28" s="3" t="s">
        <v>204</v>
      </c>
      <c r="C28" s="3" t="str">
        <f t="shared" si="0"/>
        <v>Zachary &amp; Stoake Northampton</v>
      </c>
    </row>
    <row r="29" spans="1:3">
      <c r="A29" s="9" t="s">
        <v>97</v>
      </c>
      <c r="B29" s="3" t="s">
        <v>205</v>
      </c>
      <c r="C29" s="3" t="str">
        <f t="shared" si="0"/>
        <v>Abjohn &amp; St Sepulchre, London</v>
      </c>
    </row>
    <row r="30" spans="1:3">
      <c r="A30" s="9" t="s">
        <v>98</v>
      </c>
      <c r="B30" s="3" t="s">
        <v>206</v>
      </c>
      <c r="C30" s="3" t="str">
        <f t="shared" si="0"/>
        <v>Abner &amp; Ampthill, Beds</v>
      </c>
    </row>
    <row r="31" spans="1:3">
      <c r="A31" s="9" t="s">
        <v>99</v>
      </c>
      <c r="B31" s="3" t="s">
        <v>207</v>
      </c>
      <c r="C31" s="3" t="str">
        <f t="shared" si="0"/>
        <v>Adam &amp; Lambeth, Surrey</v>
      </c>
    </row>
    <row r="32" spans="1:3">
      <c r="A32" s="9" t="s">
        <v>14</v>
      </c>
      <c r="B32" s="3" t="s">
        <v>208</v>
      </c>
      <c r="C32" s="3" t="str">
        <f t="shared" si="0"/>
        <v>Bennington &amp; St Sepulchre</v>
      </c>
    </row>
    <row r="33" spans="1:3">
      <c r="A33" s="9" t="s">
        <v>104</v>
      </c>
      <c r="B33" s="3" t="s">
        <v>209</v>
      </c>
      <c r="C33" s="3" t="str">
        <f t="shared" si="0"/>
        <v>Benson &amp; St Swithin, London</v>
      </c>
    </row>
    <row r="34" spans="1:3">
      <c r="A34" s="9" t="s">
        <v>106</v>
      </c>
      <c r="B34" s="3" t="s">
        <v>210</v>
      </c>
      <c r="C34" s="3" t="str">
        <f t="shared" si="0"/>
        <v>Bernard &amp; Stafford</v>
      </c>
    </row>
    <row r="35" spans="1:3">
      <c r="A35" s="9" t="s">
        <v>16</v>
      </c>
      <c r="B35" s="3" t="s">
        <v>211</v>
      </c>
      <c r="C35" s="3" t="str">
        <f t="shared" si="0"/>
        <v>Bichard &amp; Stclementdanes</v>
      </c>
    </row>
    <row r="36" spans="1:3">
      <c r="A36" s="9" t="s">
        <v>17</v>
      </c>
      <c r="B36" s="3" t="s">
        <v>212</v>
      </c>
      <c r="C36" s="3" t="str">
        <f t="shared" ref="C36:C67" si="1">CONCATENATE(A36,B36)</f>
        <v>Blase &amp; Chelsea, Middlesex</v>
      </c>
    </row>
    <row r="37" spans="1:3">
      <c r="A37" s="9" t="s">
        <v>111</v>
      </c>
      <c r="B37" s="3" t="s">
        <v>213</v>
      </c>
      <c r="C37" s="3" t="str">
        <f t="shared" si="1"/>
        <v>Cornelius &amp; Boreham, Essex</v>
      </c>
    </row>
    <row r="38" spans="1:3">
      <c r="A38" s="9" t="s">
        <v>112</v>
      </c>
      <c r="B38" s="3" t="s">
        <v>214</v>
      </c>
      <c r="C38" s="3" t="str">
        <f t="shared" si="1"/>
        <v>Cresswell &amp; Gadsden, Herts</v>
      </c>
    </row>
    <row r="39" spans="1:3">
      <c r="A39" s="9" t="s">
        <v>15</v>
      </c>
      <c r="B39" s="3" t="s">
        <v>215</v>
      </c>
      <c r="C39" s="3" t="str">
        <f t="shared" si="1"/>
        <v>Cressy &amp; Stenning Sussex</v>
      </c>
    </row>
    <row r="40" spans="1:3">
      <c r="A40" s="9" t="s">
        <v>113</v>
      </c>
      <c r="B40" s="3" t="s">
        <v>216</v>
      </c>
      <c r="C40" s="3" t="str">
        <f t="shared" si="1"/>
        <v>Creswell &amp; St Dunstan In The West</v>
      </c>
    </row>
    <row r="41" spans="1:3">
      <c r="A41" s="9" t="s">
        <v>114</v>
      </c>
      <c r="B41" s="3" t="s">
        <v>217</v>
      </c>
      <c r="C41" s="3" t="str">
        <f t="shared" si="1"/>
        <v>Crofts &amp; Feversham Said County</v>
      </c>
    </row>
    <row r="42" spans="1:3">
      <c r="A42" s="9" t="s">
        <v>115</v>
      </c>
      <c r="B42" s="3" t="s">
        <v>218</v>
      </c>
      <c r="C42" s="3" t="str">
        <f t="shared" si="1"/>
        <v>Curwen &amp; Windsor Berks</v>
      </c>
    </row>
    <row r="43" spans="1:3">
      <c r="A43" s="9" t="s">
        <v>116</v>
      </c>
      <c r="B43" s="3" t="s">
        <v>219</v>
      </c>
      <c r="C43" s="3" t="str">
        <f t="shared" si="1"/>
        <v>Cuthbert &amp; Stdunstan In The West</v>
      </c>
    </row>
    <row r="44" spans="1:3">
      <c r="A44" s="9" t="s">
        <v>121</v>
      </c>
      <c r="B44" s="3" t="s">
        <v>220</v>
      </c>
      <c r="C44" s="3" t="str">
        <f t="shared" si="1"/>
        <v>Dennis &amp; Stanton, Wilts</v>
      </c>
    </row>
    <row r="45" spans="1:3">
      <c r="A45" s="9" t="s">
        <v>122</v>
      </c>
      <c r="B45" s="3" t="s">
        <v>221</v>
      </c>
      <c r="C45" s="3" t="str">
        <f t="shared" si="1"/>
        <v>Dionisious &amp; East Grimstead Sussex</v>
      </c>
    </row>
    <row r="46" spans="1:3">
      <c r="A46" s="9" t="s">
        <v>123</v>
      </c>
      <c r="B46" s="3" t="s">
        <v>222</v>
      </c>
      <c r="C46" s="3" t="str">
        <f t="shared" si="1"/>
        <v>Dionysius &amp; Canterbury</v>
      </c>
    </row>
    <row r="47" spans="1:3">
      <c r="A47" s="9" t="s">
        <v>125</v>
      </c>
      <c r="B47" s="3" t="s">
        <v>223</v>
      </c>
      <c r="C47" s="3" t="str">
        <f t="shared" si="1"/>
        <v>Edwin &amp; Deale</v>
      </c>
    </row>
    <row r="48" spans="1:3">
      <c r="A48" s="9" t="s">
        <v>126</v>
      </c>
      <c r="B48" s="3" t="s">
        <v>224</v>
      </c>
      <c r="C48" s="3" t="str">
        <f t="shared" si="1"/>
        <v>Eliceum &amp; St Bride, London</v>
      </c>
    </row>
    <row r="49" spans="1:3">
      <c r="A49" s="9" t="s">
        <v>127</v>
      </c>
      <c r="B49" s="3" t="s">
        <v>208</v>
      </c>
      <c r="C49" s="3" t="str">
        <f t="shared" si="1"/>
        <v>Elkanah &amp; St Sepulchre</v>
      </c>
    </row>
    <row r="50" spans="1:3">
      <c r="A50" s="9" t="s">
        <v>128</v>
      </c>
      <c r="B50" s="3" t="s">
        <v>224</v>
      </c>
      <c r="C50" s="3" t="str">
        <f t="shared" si="1"/>
        <v>Ellionem &amp; St Bride, London</v>
      </c>
    </row>
    <row r="51" spans="1:3">
      <c r="A51" s="9" t="s">
        <v>129</v>
      </c>
      <c r="B51" s="3" t="s">
        <v>189</v>
      </c>
      <c r="C51" s="3" t="str">
        <f t="shared" si="1"/>
        <v>Frame &amp; St Martin In The Fields</v>
      </c>
    </row>
    <row r="52" spans="1:3">
      <c r="A52" s="9" t="s">
        <v>130</v>
      </c>
      <c r="B52" s="3" t="s">
        <v>225</v>
      </c>
      <c r="C52" s="3" t="str">
        <f t="shared" si="1"/>
        <v>Gabriel &amp; St Edmundthe King Lombard Street, London</v>
      </c>
    </row>
    <row r="53" spans="1:3">
      <c r="A53" s="9" t="s">
        <v>131</v>
      </c>
      <c r="B53" s="3" t="s">
        <v>226</v>
      </c>
      <c r="C53" s="3" t="str">
        <f t="shared" si="1"/>
        <v>Hamnett &amp; St Giles Cripplegate</v>
      </c>
    </row>
    <row r="54" spans="1:3">
      <c r="A54" s="9" t="s">
        <v>133</v>
      </c>
      <c r="B54" s="3" t="s">
        <v>227</v>
      </c>
      <c r="C54" s="3" t="str">
        <f t="shared" si="1"/>
        <v>James &amp; Westminster</v>
      </c>
    </row>
    <row r="55" spans="1:3">
      <c r="A55" s="9" t="s">
        <v>138</v>
      </c>
      <c r="B55" s="3" t="s">
        <v>228</v>
      </c>
      <c r="C55" s="3" t="str">
        <f t="shared" si="1"/>
        <v>Lambarte &amp; Finchamstead Berks</v>
      </c>
    </row>
    <row r="56" spans="1:3">
      <c r="A56" s="9" t="s">
        <v>145</v>
      </c>
      <c r="B56" s="6" t="s">
        <v>182</v>
      </c>
      <c r="C56" s="3" t="str">
        <f t="shared" si="1"/>
        <v>Paramor &amp; St Andrew Holborn</v>
      </c>
    </row>
    <row r="57" spans="1:3">
      <c r="A57" s="9" t="s">
        <v>146</v>
      </c>
      <c r="B57" s="3" t="s">
        <v>229</v>
      </c>
      <c r="C57" s="3" t="str">
        <f t="shared" si="1"/>
        <v>Paslowe &amp; Alford Lincoln</v>
      </c>
    </row>
    <row r="58" spans="1:3">
      <c r="A58" s="9" t="s">
        <v>147</v>
      </c>
      <c r="B58" s="3" t="s">
        <v>230</v>
      </c>
      <c r="C58" s="3" t="str">
        <f t="shared" si="1"/>
        <v>Petit &amp; Waltham Abbey, Essex</v>
      </c>
    </row>
    <row r="59" spans="1:3">
      <c r="A59" s="9" t="s">
        <v>148</v>
      </c>
      <c r="B59" s="3" t="s">
        <v>231</v>
      </c>
      <c r="C59" s="3" t="str">
        <f t="shared" si="1"/>
        <v>Phanuel &amp; Islington, Middlesex</v>
      </c>
    </row>
    <row r="60" spans="1:3">
      <c r="A60" s="9" t="s">
        <v>149</v>
      </c>
      <c r="B60" s="3" t="s">
        <v>218</v>
      </c>
      <c r="C60" s="3" t="str">
        <f t="shared" si="1"/>
        <v>Rae &amp; Windsor Berks</v>
      </c>
    </row>
    <row r="61" spans="1:3">
      <c r="A61" s="9" t="s">
        <v>150</v>
      </c>
      <c r="B61" s="3" t="s">
        <v>232</v>
      </c>
      <c r="C61" s="3" t="str">
        <f t="shared" si="1"/>
        <v>Randol &amp; St Peter Le Poor</v>
      </c>
    </row>
    <row r="62" spans="1:3">
      <c r="A62" s="9" t="s">
        <v>151</v>
      </c>
      <c r="B62" s="3" t="s">
        <v>189</v>
      </c>
      <c r="C62" s="3" t="str">
        <f t="shared" si="1"/>
        <v>Ratsey &amp; St Martin In The Fields</v>
      </c>
    </row>
    <row r="63" spans="1:3">
      <c r="A63" s="9" t="s">
        <v>152</v>
      </c>
      <c r="B63" s="3" t="s">
        <v>233</v>
      </c>
      <c r="C63" s="3" t="str">
        <f t="shared" si="1"/>
        <v>Sadeskewe &amp; St James Clerkenwell</v>
      </c>
    </row>
    <row r="64" spans="1:3">
      <c r="A64" s="9" t="s">
        <v>153</v>
      </c>
      <c r="B64" s="3" t="s">
        <v>234</v>
      </c>
      <c r="C64" s="3" t="str">
        <f t="shared" si="1"/>
        <v>Saile &amp; Charlwood, Surrey</v>
      </c>
    </row>
    <row r="65" spans="1:3">
      <c r="A65" s="9" t="s">
        <v>154</v>
      </c>
      <c r="B65" s="3" t="s">
        <v>216</v>
      </c>
      <c r="C65" s="3" t="str">
        <f t="shared" si="1"/>
        <v>Sheapheard &amp; St Dunstan In The West</v>
      </c>
    </row>
    <row r="66" spans="1:3">
      <c r="A66" s="9" t="s">
        <v>155</v>
      </c>
      <c r="B66" s="3" t="s">
        <v>189</v>
      </c>
      <c r="C66" s="3" t="str">
        <f t="shared" si="1"/>
        <v>Stanyan &amp; St Martin In The Fields</v>
      </c>
    </row>
    <row r="67" spans="1:3">
      <c r="A67" s="9" t="s">
        <v>156</v>
      </c>
      <c r="B67" s="3" t="s">
        <v>207</v>
      </c>
      <c r="C67" s="3" t="str">
        <f t="shared" si="1"/>
        <v>Swynborne &amp; Lambeth, Surrey</v>
      </c>
    </row>
    <row r="68" spans="1:3">
      <c r="A68" s="9" t="s">
        <v>157</v>
      </c>
      <c r="B68" s="3" t="s">
        <v>235</v>
      </c>
      <c r="C68" s="3" t="str">
        <f>CONCATENATE(A68,B68)</f>
        <v>Talbott &amp; Rusper Sussex</v>
      </c>
    </row>
    <row r="69" spans="1:3">
      <c r="A69" s="9" t="s">
        <v>158</v>
      </c>
      <c r="B69" s="3" t="s">
        <v>236</v>
      </c>
      <c r="C69" s="3" t="str">
        <f>CONCATENATE(A69,B69)</f>
        <v>Thornbury &amp; Sittingbourne, Kent</v>
      </c>
    </row>
    <row r="70" spans="1:3">
      <c r="A70" s="9" t="s">
        <v>159</v>
      </c>
      <c r="B70" s="3" t="s">
        <v>237</v>
      </c>
      <c r="C70" s="3" t="str">
        <f>CONCATENATE(A70,B70)</f>
        <v>Vincentius &amp; St Alban Wood Street, London</v>
      </c>
    </row>
    <row r="71" spans="1:3">
      <c r="A71" s="9" t="s">
        <v>161</v>
      </c>
      <c r="B71" s="3" t="s">
        <v>231</v>
      </c>
      <c r="C71" s="3" t="str">
        <f>CONCATENATE(A71,B71)</f>
        <v>Worley &amp; Islington, Middlesex</v>
      </c>
    </row>
    <row r="72" spans="1:3">
      <c r="A72" s="9" t="s">
        <v>8</v>
      </c>
      <c r="B72" s="3" t="s">
        <v>238</v>
      </c>
      <c r="C72" s="3" t="str">
        <f>CONCATENATE(A72,B72)</f>
        <v>Yeocum &amp; Ickingham, Middlesex</v>
      </c>
    </row>
    <row r="73" spans="1:3">
      <c r="A73" s="9" t="s">
        <v>11</v>
      </c>
      <c r="B73" s="3" t="s">
        <v>239</v>
      </c>
      <c r="C73" s="3" t="str">
        <f>CONCATENATE(A73,B73)</f>
        <v>Achilles &amp; St Mary Whitechapel</v>
      </c>
    </row>
    <row r="74" spans="1:3">
      <c r="A74" s="9" t="s">
        <v>117</v>
      </c>
      <c r="B74" s="3" t="s">
        <v>240</v>
      </c>
      <c r="C74" s="3" t="str">
        <f>CONCATENATE(A74,B74)</f>
        <v>Cyrell &amp; Maiden Lane, London</v>
      </c>
    </row>
    <row r="75" spans="1:3">
      <c r="A75" s="9" t="s">
        <v>94</v>
      </c>
      <c r="B75" s="3" t="s">
        <v>241</v>
      </c>
      <c r="C75" s="3" t="str">
        <f>CONCATENATE(A75,B75)</f>
        <v>Aaron &amp; St Catherine Coleman, London</v>
      </c>
    </row>
    <row r="76" spans="1:3">
      <c r="A76" s="9" t="s">
        <v>5</v>
      </c>
      <c r="B76" s="3" t="s">
        <v>242</v>
      </c>
      <c r="C76" s="3" t="str">
        <f>CONCATENATE(A76,B76)</f>
        <v>Abraham &amp; Islington</v>
      </c>
    </row>
    <row r="77" spans="1:3">
      <c r="A77" s="9" t="s">
        <v>103</v>
      </c>
      <c r="B77" s="3" t="s">
        <v>243</v>
      </c>
      <c r="C77" s="3" t="str">
        <f>CONCATENATE(A77,B77)</f>
        <v>Bennett &amp; St Botolph Billingsgate</v>
      </c>
    </row>
    <row r="78" spans="1:3">
      <c r="A78" s="9" t="s">
        <v>142</v>
      </c>
      <c r="B78" s="3" t="s">
        <v>244</v>
      </c>
      <c r="C78" s="3" t="str">
        <f>CONCATENATE(A78,B78)</f>
        <v>Newcomb &amp; Nicholas Lane, London</v>
      </c>
    </row>
    <row r="79" spans="1:3">
      <c r="A79" s="9" t="s">
        <v>139</v>
      </c>
      <c r="B79" s="3" t="s">
        <v>245</v>
      </c>
      <c r="C79" s="3" t="str">
        <f>CONCATENATE(A79,B79)</f>
        <v>Langstone &amp; Corby Kesteven Lincoln, London</v>
      </c>
    </row>
    <row r="80" spans="1:3">
      <c r="A80" s="9" t="s">
        <v>134</v>
      </c>
      <c r="B80" s="3" t="s">
        <v>246</v>
      </c>
      <c r="C80" s="3" t="str">
        <f>CONCATENATE(A80,B80)</f>
        <v>Jemmett &amp; Henley On Thames</v>
      </c>
    </row>
    <row r="81" spans="1:3">
      <c r="A81" s="9" t="s">
        <v>96</v>
      </c>
      <c r="B81" s="3" t="s">
        <v>247</v>
      </c>
      <c r="C81" s="3" t="str">
        <f>CONCATENATE(A81,B81)</f>
        <v>Abel &amp; Croydon, Surrey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workbookViewId="0">
      <selection activeCell="A1" sqref="A1"/>
    </sheetView>
  </sheetViews>
  <sheetFormatPr defaultColWidth="9.14285714285714" defaultRowHeight="12.75" outlineLevelCol="4"/>
  <cols>
    <col min="1" max="1" width="7.42857142857143" style="10" customWidth="1"/>
    <col min="2" max="3" width="12.8571428571429" style="10"/>
    <col min="4" max="16384" width="9.14285714285714" style="10"/>
  </cols>
  <sheetData>
    <row r="1" spans="1:1">
      <c r="A1" s="1" t="s">
        <v>248</v>
      </c>
    </row>
    <row r="2" ht="15" spans="1:5">
      <c r="A2" s="8" t="s">
        <v>249</v>
      </c>
      <c r="B2" s="8" t="s">
        <v>250</v>
      </c>
      <c r="C2" s="8" t="s">
        <v>251</v>
      </c>
      <c r="D2" s="8" t="s">
        <v>252</v>
      </c>
      <c r="E2" s="8" t="s">
        <v>253</v>
      </c>
    </row>
    <row r="3" ht="15" spans="1:5">
      <c r="A3" s="6">
        <v>6800</v>
      </c>
      <c r="B3" s="11">
        <f>SUM(A3:A81)</f>
        <v>580800</v>
      </c>
      <c r="C3" s="7">
        <f>AVERAGE(A3:A81)</f>
        <v>7351.89873417722</v>
      </c>
      <c r="D3" s="7">
        <f>MAX(A3:A81)</f>
        <v>8000</v>
      </c>
      <c r="E3" s="7">
        <f>MIN(A3:A81)</f>
        <v>5600</v>
      </c>
    </row>
    <row r="4" ht="15" spans="1:5">
      <c r="A4" s="6">
        <v>6800</v>
      </c>
      <c r="B4" s="5"/>
      <c r="C4" s="5"/>
      <c r="D4" s="5"/>
      <c r="E4" s="5"/>
    </row>
    <row r="5" ht="15" spans="1:5">
      <c r="A5" s="6">
        <v>6800</v>
      </c>
      <c r="B5" s="5"/>
      <c r="C5" s="5"/>
      <c r="D5" s="5"/>
      <c r="E5" s="5"/>
    </row>
    <row r="6" ht="15" spans="1:5">
      <c r="A6" s="6">
        <v>6800</v>
      </c>
      <c r="B6" s="5"/>
      <c r="C6" s="5"/>
      <c r="D6" s="5"/>
      <c r="E6" s="5"/>
    </row>
    <row r="7" ht="15" spans="1:5">
      <c r="A7" s="6">
        <v>6800</v>
      </c>
      <c r="B7" s="5"/>
      <c r="C7" s="5"/>
      <c r="D7" s="5"/>
      <c r="E7" s="5"/>
    </row>
    <row r="8" ht="15" spans="1:5">
      <c r="A8" s="6">
        <v>6800</v>
      </c>
      <c r="B8" s="5"/>
      <c r="C8" s="5"/>
      <c r="D8" s="5"/>
      <c r="E8" s="5"/>
    </row>
    <row r="9" ht="15" spans="1:5">
      <c r="A9" s="6">
        <v>6800</v>
      </c>
      <c r="B9" s="5"/>
      <c r="C9" s="5"/>
      <c r="D9" s="5"/>
      <c r="E9" s="5"/>
    </row>
    <row r="10" ht="15" spans="1:5">
      <c r="A10" s="6">
        <v>6800</v>
      </c>
      <c r="B10" s="5"/>
      <c r="C10" s="5"/>
      <c r="D10" s="5"/>
      <c r="E10" s="5"/>
    </row>
    <row r="11" ht="15" spans="1:5">
      <c r="A11" s="6">
        <v>6800</v>
      </c>
      <c r="B11" s="5"/>
      <c r="C11" s="5"/>
      <c r="D11" s="5"/>
      <c r="E11" s="5"/>
    </row>
    <row r="12" ht="15" spans="1:5">
      <c r="A12" s="6">
        <v>6800</v>
      </c>
      <c r="B12" s="5"/>
      <c r="C12" s="5"/>
      <c r="D12" s="5"/>
      <c r="E12" s="5"/>
    </row>
    <row r="13" ht="15" spans="1:5">
      <c r="A13" s="6">
        <v>6800</v>
      </c>
      <c r="B13" s="5"/>
      <c r="C13" s="5"/>
      <c r="D13" s="5"/>
      <c r="E13" s="5"/>
    </row>
    <row r="14" ht="15" spans="1:5">
      <c r="A14" s="6">
        <v>6800</v>
      </c>
      <c r="B14" s="5"/>
      <c r="C14" s="5"/>
      <c r="D14" s="5"/>
      <c r="E14" s="5"/>
    </row>
    <row r="15" ht="15" spans="1:5">
      <c r="A15" s="6">
        <v>6800</v>
      </c>
      <c r="B15" s="5"/>
      <c r="C15" s="5"/>
      <c r="D15" s="5"/>
      <c r="E15" s="5"/>
    </row>
    <row r="16" ht="15" spans="1:5">
      <c r="A16" s="6">
        <v>6800</v>
      </c>
      <c r="B16" s="5"/>
      <c r="C16" s="5"/>
      <c r="D16" s="5"/>
      <c r="E16" s="5"/>
    </row>
    <row r="17" ht="15" spans="1:5">
      <c r="A17" s="6">
        <v>6800</v>
      </c>
      <c r="B17" s="5"/>
      <c r="C17" s="5"/>
      <c r="D17" s="5"/>
      <c r="E17" s="5"/>
    </row>
    <row r="18" ht="15" spans="1:5">
      <c r="A18" s="6">
        <v>6800</v>
      </c>
      <c r="B18" s="5"/>
      <c r="C18" s="5"/>
      <c r="D18" s="5"/>
      <c r="E18" s="5"/>
    </row>
    <row r="19" ht="15" spans="1:5">
      <c r="A19" s="6">
        <v>6800</v>
      </c>
      <c r="B19" s="5"/>
      <c r="C19" s="5"/>
      <c r="D19" s="5"/>
      <c r="E19" s="5"/>
    </row>
    <row r="20" ht="15" spans="1:5">
      <c r="A20" s="6">
        <v>7200</v>
      </c>
      <c r="B20" s="5"/>
      <c r="C20" s="5"/>
      <c r="D20" s="5"/>
      <c r="E20" s="5"/>
    </row>
    <row r="21" ht="15" spans="1:5">
      <c r="A21" s="6">
        <v>7200</v>
      </c>
      <c r="B21" s="5"/>
      <c r="C21" s="5"/>
      <c r="D21" s="5"/>
      <c r="E21" s="5"/>
    </row>
    <row r="22" ht="15" spans="1:5">
      <c r="A22" s="6">
        <v>7200</v>
      </c>
      <c r="B22" s="5"/>
      <c r="C22" s="5"/>
      <c r="D22" s="5"/>
      <c r="E22" s="5"/>
    </row>
    <row r="23" ht="15" spans="1:5">
      <c r="A23" s="6">
        <v>7200</v>
      </c>
      <c r="B23" s="5"/>
      <c r="C23" s="5"/>
      <c r="D23" s="5"/>
      <c r="E23" s="5"/>
    </row>
    <row r="24" ht="15" spans="1:5">
      <c r="A24" s="6">
        <v>7200</v>
      </c>
      <c r="B24" s="5"/>
      <c r="C24" s="5"/>
      <c r="D24" s="5"/>
      <c r="E24" s="5"/>
    </row>
    <row r="25" ht="15" spans="1:5">
      <c r="A25" s="6">
        <v>7200</v>
      </c>
      <c r="B25" s="5"/>
      <c r="C25" s="5"/>
      <c r="D25" s="5"/>
      <c r="E25" s="5"/>
    </row>
    <row r="26" ht="15" spans="1:5">
      <c r="A26" s="6">
        <v>7200</v>
      </c>
      <c r="B26" s="5"/>
      <c r="C26" s="5"/>
      <c r="D26" s="5"/>
      <c r="E26" s="5"/>
    </row>
    <row r="27" ht="15" spans="1:5">
      <c r="A27" s="6">
        <v>7200</v>
      </c>
      <c r="B27" s="5"/>
      <c r="C27" s="5"/>
      <c r="D27" s="5"/>
      <c r="E27" s="5"/>
    </row>
    <row r="28" ht="15" spans="1:5">
      <c r="A28" s="6">
        <v>7200</v>
      </c>
      <c r="B28" s="5"/>
      <c r="C28" s="5"/>
      <c r="D28" s="5"/>
      <c r="E28" s="5"/>
    </row>
    <row r="29" ht="15" spans="1:5">
      <c r="A29" s="6">
        <v>7200</v>
      </c>
      <c r="B29" s="5"/>
      <c r="C29" s="5"/>
      <c r="D29" s="5"/>
      <c r="E29" s="5"/>
    </row>
    <row r="30" ht="15" spans="1:5">
      <c r="A30" s="6">
        <v>7200</v>
      </c>
      <c r="B30" s="5"/>
      <c r="C30" s="5"/>
      <c r="D30" s="5"/>
      <c r="E30" s="5"/>
    </row>
    <row r="31" ht="15" spans="1:5">
      <c r="A31" s="6">
        <v>7200</v>
      </c>
      <c r="B31" s="5"/>
      <c r="C31" s="5"/>
      <c r="D31" s="5"/>
      <c r="E31" s="5"/>
    </row>
    <row r="32" ht="15" spans="1:5">
      <c r="A32" s="6">
        <v>7200</v>
      </c>
      <c r="B32" s="5"/>
      <c r="C32" s="5"/>
      <c r="D32" s="5"/>
      <c r="E32" s="5"/>
    </row>
    <row r="33" ht="15" spans="1:5">
      <c r="A33" s="6">
        <v>7200</v>
      </c>
      <c r="B33" s="5"/>
      <c r="C33" s="5"/>
      <c r="D33" s="5"/>
      <c r="E33" s="5"/>
    </row>
    <row r="34" ht="15" spans="1:5">
      <c r="A34" s="6">
        <v>7200</v>
      </c>
      <c r="B34" s="5"/>
      <c r="C34" s="5"/>
      <c r="D34" s="5"/>
      <c r="E34" s="5"/>
    </row>
    <row r="35" ht="15" spans="1:5">
      <c r="A35" s="6">
        <v>7200</v>
      </c>
      <c r="B35" s="5"/>
      <c r="C35" s="5"/>
      <c r="D35" s="5"/>
      <c r="E35" s="5"/>
    </row>
    <row r="36" ht="15" spans="1:5">
      <c r="A36" s="6">
        <v>7200</v>
      </c>
      <c r="B36" s="5"/>
      <c r="C36" s="5"/>
      <c r="D36" s="5"/>
      <c r="E36" s="5"/>
    </row>
    <row r="37" ht="15" spans="1:5">
      <c r="A37" s="6">
        <v>8000</v>
      </c>
      <c r="B37" s="5"/>
      <c r="C37" s="5"/>
      <c r="D37" s="5"/>
      <c r="E37" s="5"/>
    </row>
    <row r="38" ht="15" spans="1:5">
      <c r="A38" s="6">
        <v>8000</v>
      </c>
      <c r="B38" s="5"/>
      <c r="C38" s="5"/>
      <c r="D38" s="5"/>
      <c r="E38" s="5"/>
    </row>
    <row r="39" ht="15" spans="1:5">
      <c r="A39" s="6">
        <v>8000</v>
      </c>
      <c r="B39" s="5"/>
      <c r="C39" s="5"/>
      <c r="D39" s="5"/>
      <c r="E39" s="5"/>
    </row>
    <row r="40" ht="15" spans="1:5">
      <c r="A40" s="6">
        <v>8000</v>
      </c>
      <c r="B40" s="5"/>
      <c r="C40" s="5"/>
      <c r="D40" s="5"/>
      <c r="E40" s="5"/>
    </row>
    <row r="41" ht="15" spans="1:5">
      <c r="A41" s="6">
        <v>8000</v>
      </c>
      <c r="B41" s="5"/>
      <c r="C41" s="5"/>
      <c r="D41" s="5"/>
      <c r="E41" s="5"/>
    </row>
    <row r="42" ht="15" spans="1:5">
      <c r="A42" s="6">
        <v>8000</v>
      </c>
      <c r="B42" s="5"/>
      <c r="C42" s="5"/>
      <c r="D42" s="5"/>
      <c r="E42" s="5"/>
    </row>
    <row r="43" ht="15" spans="1:5">
      <c r="A43" s="6">
        <v>8000</v>
      </c>
      <c r="B43" s="5"/>
      <c r="C43" s="5"/>
      <c r="D43" s="5"/>
      <c r="E43" s="5"/>
    </row>
    <row r="44" ht="15" spans="1:5">
      <c r="A44" s="6">
        <v>8000</v>
      </c>
      <c r="B44" s="5"/>
      <c r="C44" s="5"/>
      <c r="D44" s="5"/>
      <c r="E44" s="5"/>
    </row>
    <row r="45" ht="15" spans="1:5">
      <c r="A45" s="6">
        <v>8000</v>
      </c>
      <c r="B45" s="5"/>
      <c r="C45" s="5"/>
      <c r="D45" s="5"/>
      <c r="E45" s="5"/>
    </row>
    <row r="46" ht="15" spans="1:5">
      <c r="A46" s="6">
        <v>8000</v>
      </c>
      <c r="B46" s="5"/>
      <c r="C46" s="5"/>
      <c r="D46" s="5"/>
      <c r="E46" s="5"/>
    </row>
    <row r="47" ht="15" spans="1:5">
      <c r="A47" s="6">
        <v>8000</v>
      </c>
      <c r="B47" s="5"/>
      <c r="C47" s="5"/>
      <c r="D47" s="5"/>
      <c r="E47" s="5"/>
    </row>
    <row r="48" ht="15" spans="1:5">
      <c r="A48" s="6">
        <v>8000</v>
      </c>
      <c r="B48" s="5"/>
      <c r="C48" s="5"/>
      <c r="D48" s="5"/>
      <c r="E48" s="5"/>
    </row>
    <row r="49" ht="15" spans="1:5">
      <c r="A49" s="6">
        <v>8000</v>
      </c>
      <c r="B49" s="5"/>
      <c r="C49" s="5"/>
      <c r="D49" s="5"/>
      <c r="E49" s="5"/>
    </row>
    <row r="50" ht="15" spans="1:5">
      <c r="A50" s="6">
        <v>8000</v>
      </c>
      <c r="B50" s="5"/>
      <c r="C50" s="5"/>
      <c r="D50" s="5"/>
      <c r="E50" s="5"/>
    </row>
    <row r="51" ht="15" spans="1:5">
      <c r="A51" s="6">
        <v>8000</v>
      </c>
      <c r="B51" s="5"/>
      <c r="C51" s="5"/>
      <c r="D51" s="5"/>
      <c r="E51" s="5"/>
    </row>
    <row r="52" ht="15" spans="1:5">
      <c r="A52" s="6">
        <v>8000</v>
      </c>
      <c r="B52" s="5"/>
      <c r="C52" s="5"/>
      <c r="D52" s="5"/>
      <c r="E52" s="5"/>
    </row>
    <row r="53" ht="15" spans="1:5">
      <c r="A53" s="6">
        <v>8000</v>
      </c>
      <c r="B53" s="5"/>
      <c r="C53" s="5"/>
      <c r="D53" s="5"/>
      <c r="E53" s="5"/>
    </row>
    <row r="54" ht="15" spans="1:5">
      <c r="A54" s="6">
        <v>8000</v>
      </c>
      <c r="B54" s="5"/>
      <c r="C54" s="5"/>
      <c r="D54" s="5"/>
      <c r="E54" s="5"/>
    </row>
    <row r="55" ht="15" spans="1:5">
      <c r="A55" s="6">
        <v>8000</v>
      </c>
      <c r="B55" s="5"/>
      <c r="C55" s="5"/>
      <c r="D55" s="5"/>
      <c r="E55" s="5"/>
    </row>
    <row r="56" ht="15" spans="1:5">
      <c r="A56" s="6">
        <v>8000</v>
      </c>
      <c r="B56" s="5"/>
      <c r="C56" s="5"/>
      <c r="D56" s="5"/>
      <c r="E56" s="5"/>
    </row>
    <row r="57" ht="15" spans="1:5">
      <c r="A57" s="6">
        <v>8000</v>
      </c>
      <c r="B57" s="5"/>
      <c r="C57" s="5"/>
      <c r="D57" s="5"/>
      <c r="E57" s="5"/>
    </row>
    <row r="58" ht="15" spans="1:5">
      <c r="A58" s="6">
        <v>8000</v>
      </c>
      <c r="B58" s="5"/>
      <c r="C58" s="5"/>
      <c r="D58" s="5"/>
      <c r="E58" s="5"/>
    </row>
    <row r="59" ht="15" spans="1:5">
      <c r="A59" s="6">
        <v>8000</v>
      </c>
      <c r="B59" s="5"/>
      <c r="C59" s="5"/>
      <c r="D59" s="5"/>
      <c r="E59" s="5"/>
    </row>
    <row r="60" ht="15" spans="1:5">
      <c r="A60" s="6">
        <v>8000</v>
      </c>
      <c r="B60" s="5"/>
      <c r="C60" s="5"/>
      <c r="D60" s="5"/>
      <c r="E60" s="5"/>
    </row>
    <row r="61" ht="15" spans="1:5">
      <c r="A61" s="6">
        <v>8000</v>
      </c>
      <c r="B61" s="5"/>
      <c r="C61" s="5"/>
      <c r="D61" s="5"/>
      <c r="E61" s="5"/>
    </row>
    <row r="62" ht="15" spans="1:5">
      <c r="A62" s="6">
        <v>7800</v>
      </c>
      <c r="B62" s="5"/>
      <c r="C62" s="5"/>
      <c r="D62" s="5"/>
      <c r="E62" s="5"/>
    </row>
    <row r="63" ht="15" spans="1:5">
      <c r="A63" s="6">
        <v>7800</v>
      </c>
      <c r="B63" s="5"/>
      <c r="C63" s="5"/>
      <c r="D63" s="5"/>
      <c r="E63" s="5"/>
    </row>
    <row r="64" ht="15" spans="1:5">
      <c r="A64" s="6">
        <v>7800</v>
      </c>
      <c r="B64" s="5"/>
      <c r="C64" s="5"/>
      <c r="D64" s="5"/>
      <c r="E64" s="5"/>
    </row>
    <row r="65" ht="15" spans="1:5">
      <c r="A65" s="6">
        <v>7800</v>
      </c>
      <c r="B65" s="5"/>
      <c r="C65" s="5"/>
      <c r="D65" s="5"/>
      <c r="E65" s="5"/>
    </row>
    <row r="66" ht="15" spans="1:5">
      <c r="A66" s="6">
        <v>7800</v>
      </c>
      <c r="B66" s="5"/>
      <c r="C66" s="5"/>
      <c r="D66" s="5"/>
      <c r="E66" s="5"/>
    </row>
    <row r="67" ht="15" spans="1:5">
      <c r="A67" s="6">
        <v>7800</v>
      </c>
      <c r="B67" s="5"/>
      <c r="C67" s="5"/>
      <c r="D67" s="5"/>
      <c r="E67" s="5"/>
    </row>
    <row r="68" ht="15" spans="1:5">
      <c r="A68" s="6">
        <v>7800</v>
      </c>
      <c r="B68" s="5"/>
      <c r="C68" s="5"/>
      <c r="D68" s="5"/>
      <c r="E68" s="5"/>
    </row>
    <row r="69" ht="15" spans="1:5">
      <c r="A69" s="6">
        <v>7800</v>
      </c>
      <c r="B69" s="5"/>
      <c r="C69" s="5"/>
      <c r="D69" s="5"/>
      <c r="E69" s="5"/>
    </row>
    <row r="70" ht="15" spans="1:5">
      <c r="A70" s="6">
        <v>7800</v>
      </c>
      <c r="B70" s="5"/>
      <c r="C70" s="5"/>
      <c r="D70" s="5"/>
      <c r="E70" s="5"/>
    </row>
    <row r="71" ht="15" spans="1:5">
      <c r="A71" s="6">
        <v>7800</v>
      </c>
      <c r="B71" s="5"/>
      <c r="C71" s="5"/>
      <c r="D71" s="5"/>
      <c r="E71" s="5"/>
    </row>
    <row r="72" ht="15" spans="1:5">
      <c r="A72" s="6">
        <v>7800</v>
      </c>
      <c r="B72" s="5"/>
      <c r="C72" s="5"/>
      <c r="D72" s="5"/>
      <c r="E72" s="5"/>
    </row>
    <row r="73" ht="15" spans="1:5">
      <c r="A73" s="6">
        <v>7800</v>
      </c>
      <c r="B73" s="5"/>
      <c r="C73" s="5"/>
      <c r="D73" s="5"/>
      <c r="E73" s="5"/>
    </row>
    <row r="74" ht="15" spans="1:5">
      <c r="A74" s="6">
        <v>7800</v>
      </c>
      <c r="B74" s="5"/>
      <c r="C74" s="5"/>
      <c r="D74" s="5"/>
      <c r="E74" s="5"/>
    </row>
    <row r="75" ht="15" spans="1:5">
      <c r="A75" s="6">
        <v>7800</v>
      </c>
      <c r="B75" s="5"/>
      <c r="C75" s="5"/>
      <c r="D75" s="5"/>
      <c r="E75" s="5"/>
    </row>
    <row r="76" ht="15" spans="1:5">
      <c r="A76" s="6">
        <v>5600</v>
      </c>
      <c r="B76" s="5"/>
      <c r="C76" s="5"/>
      <c r="D76" s="5"/>
      <c r="E76" s="5"/>
    </row>
    <row r="77" ht="15" spans="1:5">
      <c r="A77" s="6">
        <v>5600</v>
      </c>
      <c r="B77" s="5"/>
      <c r="C77" s="5"/>
      <c r="D77" s="5"/>
      <c r="E77" s="5"/>
    </row>
    <row r="78" ht="15" spans="1:5">
      <c r="A78" s="6">
        <v>5600</v>
      </c>
      <c r="B78" s="5"/>
      <c r="C78" s="5"/>
      <c r="D78" s="5"/>
      <c r="E78" s="5"/>
    </row>
    <row r="79" ht="15" spans="1:5">
      <c r="A79" s="6">
        <v>5600</v>
      </c>
      <c r="B79" s="5"/>
      <c r="C79" s="5"/>
      <c r="D79" s="5"/>
      <c r="E79" s="5"/>
    </row>
    <row r="80" ht="15" spans="1:5">
      <c r="A80" s="6">
        <v>5600</v>
      </c>
      <c r="B80" s="5"/>
      <c r="C80" s="5"/>
      <c r="D80" s="5"/>
      <c r="E80" s="5"/>
    </row>
    <row r="81" ht="15" spans="1:5">
      <c r="A81" s="6">
        <v>5600</v>
      </c>
      <c r="B81" s="5"/>
      <c r="C81" s="5"/>
      <c r="D81" s="5"/>
      <c r="E81" s="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2" sqref="A2"/>
    </sheetView>
  </sheetViews>
  <sheetFormatPr defaultColWidth="9.14285714285714" defaultRowHeight="15" outlineLevelCol="2"/>
  <cols>
    <col min="1" max="1" width="9.28571428571429" style="5" customWidth="1"/>
    <col min="2" max="2" width="5.14285714285714" style="5" customWidth="1"/>
    <col min="3" max="3" width="20.5714285714286" style="5" customWidth="1"/>
    <col min="4" max="16384" width="9.14285714285714" style="5"/>
  </cols>
  <sheetData>
    <row r="1" spans="1:1">
      <c r="A1" s="1" t="s">
        <v>254</v>
      </c>
    </row>
    <row r="2" spans="1:3">
      <c r="A2" s="8" t="s">
        <v>0</v>
      </c>
      <c r="B2" s="8" t="s">
        <v>255</v>
      </c>
      <c r="C2" s="8" t="s">
        <v>163</v>
      </c>
    </row>
    <row r="3" spans="1:3">
      <c r="A3" s="9" t="s">
        <v>95</v>
      </c>
      <c r="B3" s="6" t="s">
        <v>256</v>
      </c>
      <c r="C3" s="6" t="s">
        <v>167</v>
      </c>
    </row>
    <row r="4" spans="1:3">
      <c r="A4" s="9" t="s">
        <v>102</v>
      </c>
      <c r="B4" s="6" t="s">
        <v>257</v>
      </c>
      <c r="C4" s="6" t="s">
        <v>168</v>
      </c>
    </row>
    <row r="5" spans="1:3">
      <c r="A5" s="9" t="s">
        <v>109</v>
      </c>
      <c r="B5" s="6" t="s">
        <v>258</v>
      </c>
      <c r="C5" s="6" t="s">
        <v>165</v>
      </c>
    </row>
    <row r="6" spans="1:3">
      <c r="A6" s="9" t="s">
        <v>120</v>
      </c>
      <c r="B6" s="6" t="s">
        <v>259</v>
      </c>
      <c r="C6" s="6" t="s">
        <v>167</v>
      </c>
    </row>
    <row r="7" spans="1:3">
      <c r="A7" s="9" t="s">
        <v>124</v>
      </c>
      <c r="B7" s="6" t="s">
        <v>259</v>
      </c>
      <c r="C7" s="6" t="s">
        <v>164</v>
      </c>
    </row>
    <row r="8" spans="1:3">
      <c r="A8" s="9" t="s">
        <v>10</v>
      </c>
      <c r="B8" s="6" t="s">
        <v>259</v>
      </c>
      <c r="C8" s="6" t="s">
        <v>167</v>
      </c>
    </row>
    <row r="9" spans="1:3">
      <c r="A9" s="9" t="s">
        <v>260</v>
      </c>
      <c r="B9" s="6">
        <v>26</v>
      </c>
      <c r="C9" s="6" t="s">
        <v>171</v>
      </c>
    </row>
    <row r="10" spans="1:3">
      <c r="A10" s="9" t="s">
        <v>132</v>
      </c>
      <c r="B10" s="6" t="s">
        <v>261</v>
      </c>
      <c r="C10" s="6" t="s">
        <v>167</v>
      </c>
    </row>
    <row r="11" spans="1:3">
      <c r="A11" s="9" t="s">
        <v>137</v>
      </c>
      <c r="B11" s="6" t="s">
        <v>256</v>
      </c>
      <c r="C11" s="6" t="s">
        <v>165</v>
      </c>
    </row>
    <row r="12" spans="1:3">
      <c r="A12" s="9" t="s">
        <v>13</v>
      </c>
      <c r="B12" s="6" t="s">
        <v>262</v>
      </c>
      <c r="C12" s="6" t="s">
        <v>168</v>
      </c>
    </row>
    <row r="13" spans="1:3">
      <c r="A13" s="9" t="s">
        <v>160</v>
      </c>
      <c r="B13" s="6" t="s">
        <v>263</v>
      </c>
      <c r="C13" s="6" t="s">
        <v>166</v>
      </c>
    </row>
  </sheetData>
  <sortState ref="A2:D11">
    <sortCondition ref="A2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workbookViewId="0">
      <selection activeCell="A1" sqref="A1"/>
    </sheetView>
  </sheetViews>
  <sheetFormatPr defaultColWidth="9.14285714285714" defaultRowHeight="15" outlineLevelCol="2"/>
  <cols>
    <col min="1" max="1" width="113.714285714286" style="5" customWidth="1"/>
    <col min="2" max="2" width="43.1428571428571" style="5" customWidth="1"/>
    <col min="3" max="3" width="7.71428571428571" style="5" customWidth="1"/>
    <col min="4" max="16384" width="9.14285714285714" style="5"/>
  </cols>
  <sheetData>
    <row r="1" spans="1:1">
      <c r="A1" s="1" t="s">
        <v>264</v>
      </c>
    </row>
    <row r="2" spans="1:3">
      <c r="A2" s="2" t="s">
        <v>21</v>
      </c>
      <c r="B2" s="2" t="s">
        <v>265</v>
      </c>
      <c r="C2" s="2" t="s">
        <v>266</v>
      </c>
    </row>
    <row r="3" spans="1:3">
      <c r="A3" s="3" t="s">
        <v>267</v>
      </c>
      <c r="B3" s="7" t="str">
        <f>TRIM(A3)</f>
        <v>Sutton, Surrey</v>
      </c>
      <c r="C3" s="7">
        <f>LEN(B3)</f>
        <v>14</v>
      </c>
    </row>
    <row r="4" spans="1:3">
      <c r="A4" s="3" t="s">
        <v>268</v>
      </c>
      <c r="B4" s="7" t="str">
        <f t="shared" ref="B4:B35" si="0">TRIM(A4)</f>
        <v>Great St Helen, London</v>
      </c>
      <c r="C4" s="7">
        <f t="shared" ref="C4:C35" si="1">LEN(B4)</f>
        <v>22</v>
      </c>
    </row>
    <row r="5" spans="1:3">
      <c r="A5" s="3" t="s">
        <v>269</v>
      </c>
      <c r="B5" s="7" t="str">
        <f t="shared" si="0"/>
        <v>St Andrew Holborn</v>
      </c>
      <c r="C5" s="7">
        <f t="shared" si="1"/>
        <v>17</v>
      </c>
    </row>
    <row r="6" spans="1:3">
      <c r="A6" s="3" t="s">
        <v>270</v>
      </c>
      <c r="B6" s="7" t="str">
        <f t="shared" si="0"/>
        <v>Wapping, Middlesex</v>
      </c>
      <c r="C6" s="7">
        <f t="shared" si="1"/>
        <v>18</v>
      </c>
    </row>
    <row r="7" spans="1:3">
      <c r="A7" s="3" t="s">
        <v>271</v>
      </c>
      <c r="B7" s="7" t="str">
        <f t="shared" si="0"/>
        <v>Horne, Surrey</v>
      </c>
      <c r="C7" s="7">
        <f t="shared" si="1"/>
        <v>13</v>
      </c>
    </row>
    <row r="8" spans="1:3">
      <c r="A8" s="3" t="s">
        <v>272</v>
      </c>
      <c r="B8" s="7" t="str">
        <f t="shared" si="0"/>
        <v>Hornsoy, Middlesex</v>
      </c>
      <c r="C8" s="7">
        <f t="shared" si="1"/>
        <v>18</v>
      </c>
    </row>
    <row r="9" spans="1:3">
      <c r="A9" s="3" t="s">
        <v>273</v>
      </c>
      <c r="B9" s="7" t="str">
        <f t="shared" si="0"/>
        <v>Godmersham, Kent</v>
      </c>
      <c r="C9" s="7">
        <f t="shared" si="1"/>
        <v>16</v>
      </c>
    </row>
    <row r="10" spans="1:3">
      <c r="A10" s="3" t="s">
        <v>274</v>
      </c>
      <c r="B10" s="7" t="str">
        <f t="shared" si="0"/>
        <v>Heath, Middlesex</v>
      </c>
      <c r="C10" s="7">
        <f t="shared" si="1"/>
        <v>16</v>
      </c>
    </row>
    <row r="11" spans="1:3">
      <c r="A11" s="3" t="s">
        <v>275</v>
      </c>
      <c r="B11" s="7" t="str">
        <f t="shared" si="0"/>
        <v>Aldermanbury, London</v>
      </c>
      <c r="C11" s="7">
        <f t="shared" si="1"/>
        <v>20</v>
      </c>
    </row>
    <row r="12" spans="1:3">
      <c r="A12" s="3" t="s">
        <v>34</v>
      </c>
      <c r="B12" s="7" t="str">
        <f t="shared" si="0"/>
        <v>St Martin In The Fields</v>
      </c>
      <c r="C12" s="7">
        <f t="shared" si="1"/>
        <v>23</v>
      </c>
    </row>
    <row r="13" spans="1:3">
      <c r="A13" s="3" t="s">
        <v>276</v>
      </c>
      <c r="B13" s="7" t="str">
        <f t="shared" si="0"/>
        <v>Eastwood, Essex</v>
      </c>
      <c r="C13" s="7">
        <f t="shared" si="1"/>
        <v>15</v>
      </c>
    </row>
    <row r="14" spans="1:3">
      <c r="A14" s="3" t="s">
        <v>277</v>
      </c>
      <c r="B14" s="7" t="str">
        <f t="shared" si="0"/>
        <v>Bradwell Jaxta Mare, Middlesex</v>
      </c>
      <c r="C14" s="7">
        <f t="shared" si="1"/>
        <v>30</v>
      </c>
    </row>
    <row r="15" spans="1:3">
      <c r="A15" s="3" t="s">
        <v>278</v>
      </c>
      <c r="B15" s="7" t="str">
        <f t="shared" si="0"/>
        <v>Ham Charleton Kings, Gloucester</v>
      </c>
      <c r="C15" s="7">
        <f t="shared" si="1"/>
        <v>31</v>
      </c>
    </row>
    <row r="16" spans="1:3">
      <c r="A16" s="3" t="s">
        <v>38</v>
      </c>
      <c r="B16" s="7" t="str">
        <f t="shared" si="0"/>
        <v>StBotolph Aldersgate</v>
      </c>
      <c r="C16" s="7">
        <f t="shared" si="1"/>
        <v>20</v>
      </c>
    </row>
    <row r="17" spans="1:3">
      <c r="A17" s="3" t="s">
        <v>279</v>
      </c>
      <c r="B17" s="7" t="str">
        <f t="shared" si="0"/>
        <v>St Lawrence, London</v>
      </c>
      <c r="C17" s="7">
        <f t="shared" si="1"/>
        <v>19</v>
      </c>
    </row>
    <row r="18" spans="1:3">
      <c r="A18" s="3" t="s">
        <v>40</v>
      </c>
      <c r="B18" s="7" t="str">
        <f t="shared" si="0"/>
        <v>Lomster Horeford</v>
      </c>
      <c r="C18" s="7">
        <f t="shared" si="1"/>
        <v>16</v>
      </c>
    </row>
    <row r="19" spans="1:3">
      <c r="A19" s="3" t="s">
        <v>280</v>
      </c>
      <c r="B19" s="7" t="str">
        <f t="shared" si="0"/>
        <v>St Martin In The Fields, Middlesex</v>
      </c>
      <c r="C19" s="7">
        <f t="shared" si="1"/>
        <v>34</v>
      </c>
    </row>
    <row r="20" spans="1:3">
      <c r="A20" s="3" t="s">
        <v>42</v>
      </c>
      <c r="B20" s="7" t="str">
        <f t="shared" si="0"/>
        <v>Keire Worcester</v>
      </c>
      <c r="C20" s="7">
        <f t="shared" si="1"/>
        <v>15</v>
      </c>
    </row>
    <row r="21" spans="1:3">
      <c r="A21" s="3" t="s">
        <v>281</v>
      </c>
      <c r="B21" s="7" t="str">
        <f t="shared" si="0"/>
        <v>St Giles In The Fields, Middlesex</v>
      </c>
      <c r="C21" s="7">
        <f t="shared" si="1"/>
        <v>33</v>
      </c>
    </row>
    <row r="22" spans="1:3">
      <c r="A22" s="3" t="s">
        <v>34</v>
      </c>
      <c r="B22" s="7" t="str">
        <f t="shared" si="0"/>
        <v>St Martin In The Fields</v>
      </c>
      <c r="C22" s="7">
        <f t="shared" si="1"/>
        <v>23</v>
      </c>
    </row>
    <row r="23" spans="1:3">
      <c r="A23" s="3" t="s">
        <v>44</v>
      </c>
      <c r="B23" s="7" t="str">
        <f t="shared" si="0"/>
        <v>St Clement Danes</v>
      </c>
      <c r="C23" s="7">
        <f t="shared" si="1"/>
        <v>16</v>
      </c>
    </row>
    <row r="24" spans="1:3">
      <c r="A24" s="3" t="s">
        <v>45</v>
      </c>
      <c r="B24" s="7" t="str">
        <f t="shared" si="0"/>
        <v>Blackdon Devon</v>
      </c>
      <c r="C24" s="7">
        <f t="shared" si="1"/>
        <v>14</v>
      </c>
    </row>
    <row r="25" spans="1:3">
      <c r="A25" s="3" t="s">
        <v>46</v>
      </c>
      <c r="B25" s="7" t="str">
        <f t="shared" si="0"/>
        <v>St Anne Westminster</v>
      </c>
      <c r="C25" s="7">
        <f t="shared" si="1"/>
        <v>19</v>
      </c>
    </row>
    <row r="26" spans="1:3">
      <c r="A26" s="3" t="s">
        <v>282</v>
      </c>
      <c r="B26" s="7" t="str">
        <f t="shared" si="0"/>
        <v>St George Botolph Lane, London</v>
      </c>
      <c r="C26" s="7">
        <f t="shared" si="1"/>
        <v>30</v>
      </c>
    </row>
    <row r="27" spans="1:3">
      <c r="A27" s="3" t="s">
        <v>283</v>
      </c>
      <c r="B27" s="7" t="str">
        <f t="shared" si="0"/>
        <v>Boddington, Surrey</v>
      </c>
      <c r="C27" s="7">
        <f t="shared" si="1"/>
        <v>18</v>
      </c>
    </row>
    <row r="28" spans="1:3">
      <c r="A28" s="3" t="s">
        <v>49</v>
      </c>
      <c r="B28" s="7" t="str">
        <f t="shared" si="0"/>
        <v>Stoake Northampton</v>
      </c>
      <c r="C28" s="7">
        <f t="shared" si="1"/>
        <v>18</v>
      </c>
    </row>
    <row r="29" spans="1:3">
      <c r="A29" s="3" t="s">
        <v>284</v>
      </c>
      <c r="B29" s="7" t="str">
        <f t="shared" si="0"/>
        <v>St Sepulchre, London</v>
      </c>
      <c r="C29" s="7">
        <f t="shared" si="1"/>
        <v>20</v>
      </c>
    </row>
    <row r="30" spans="1:3">
      <c r="A30" s="3" t="s">
        <v>285</v>
      </c>
      <c r="B30" s="7" t="str">
        <f t="shared" si="0"/>
        <v>Ampthill, Beds</v>
      </c>
      <c r="C30" s="7">
        <f t="shared" si="1"/>
        <v>14</v>
      </c>
    </row>
    <row r="31" spans="1:3">
      <c r="A31" s="3" t="s">
        <v>286</v>
      </c>
      <c r="B31" s="7" t="str">
        <f t="shared" si="0"/>
        <v>Lambeth, Surrey</v>
      </c>
      <c r="C31" s="7">
        <f t="shared" si="1"/>
        <v>15</v>
      </c>
    </row>
    <row r="32" spans="1:3">
      <c r="A32" s="3" t="s">
        <v>53</v>
      </c>
      <c r="B32" s="7" t="str">
        <f t="shared" si="0"/>
        <v>St Sepulchre</v>
      </c>
      <c r="C32" s="7">
        <f t="shared" si="1"/>
        <v>12</v>
      </c>
    </row>
    <row r="33" spans="1:3">
      <c r="A33" s="3" t="s">
        <v>287</v>
      </c>
      <c r="B33" s="7" t="str">
        <f t="shared" si="0"/>
        <v>St Swithin, London</v>
      </c>
      <c r="C33" s="7">
        <f t="shared" si="1"/>
        <v>18</v>
      </c>
    </row>
    <row r="34" spans="1:3">
      <c r="A34" s="3" t="s">
        <v>55</v>
      </c>
      <c r="B34" s="7" t="str">
        <f t="shared" si="0"/>
        <v>Stafford</v>
      </c>
      <c r="C34" s="7">
        <f t="shared" si="1"/>
        <v>8</v>
      </c>
    </row>
    <row r="35" spans="1:3">
      <c r="A35" s="3" t="s">
        <v>56</v>
      </c>
      <c r="B35" s="7" t="str">
        <f t="shared" si="0"/>
        <v>StClementdanes</v>
      </c>
      <c r="C35" s="7">
        <f t="shared" si="1"/>
        <v>14</v>
      </c>
    </row>
    <row r="36" spans="1:3">
      <c r="A36" s="3" t="s">
        <v>288</v>
      </c>
      <c r="B36" s="7" t="str">
        <f t="shared" ref="B36:B67" si="2">TRIM(A36)</f>
        <v>Chelsea, Middlesex</v>
      </c>
      <c r="C36" s="7">
        <f t="shared" ref="C36:C67" si="3">LEN(B36)</f>
        <v>18</v>
      </c>
    </row>
    <row r="37" spans="1:3">
      <c r="A37" s="3" t="s">
        <v>289</v>
      </c>
      <c r="B37" s="7" t="str">
        <f t="shared" si="2"/>
        <v>Boreham, Essex</v>
      </c>
      <c r="C37" s="7">
        <f t="shared" si="3"/>
        <v>14</v>
      </c>
    </row>
    <row r="38" spans="1:3">
      <c r="A38" s="3" t="s">
        <v>290</v>
      </c>
      <c r="B38" s="7" t="str">
        <f t="shared" si="2"/>
        <v>Gadsden, Herts</v>
      </c>
      <c r="C38" s="7">
        <f t="shared" si="3"/>
        <v>14</v>
      </c>
    </row>
    <row r="39" spans="1:3">
      <c r="A39" s="3" t="s">
        <v>60</v>
      </c>
      <c r="B39" s="7" t="str">
        <f t="shared" si="2"/>
        <v>Stenning Sussex</v>
      </c>
      <c r="C39" s="7">
        <f t="shared" si="3"/>
        <v>15</v>
      </c>
    </row>
    <row r="40" spans="1:3">
      <c r="A40" s="3" t="s">
        <v>61</v>
      </c>
      <c r="B40" s="7" t="str">
        <f t="shared" si="2"/>
        <v>St Dunstan In The West</v>
      </c>
      <c r="C40" s="7">
        <f t="shared" si="3"/>
        <v>22</v>
      </c>
    </row>
    <row r="41" spans="1:3">
      <c r="A41" s="3" t="s">
        <v>62</v>
      </c>
      <c r="B41" s="7" t="str">
        <f t="shared" si="2"/>
        <v>Feversham Said County</v>
      </c>
      <c r="C41" s="7">
        <f t="shared" si="3"/>
        <v>21</v>
      </c>
    </row>
    <row r="42" spans="1:3">
      <c r="A42" s="3" t="s">
        <v>63</v>
      </c>
      <c r="B42" s="7" t="str">
        <f t="shared" si="2"/>
        <v>Windsor Berks</v>
      </c>
      <c r="C42" s="7">
        <f t="shared" si="3"/>
        <v>13</v>
      </c>
    </row>
    <row r="43" spans="1:3">
      <c r="A43" s="3" t="s">
        <v>64</v>
      </c>
      <c r="B43" s="7" t="str">
        <f t="shared" si="2"/>
        <v>StDunstan In The West</v>
      </c>
      <c r="C43" s="7">
        <f t="shared" si="3"/>
        <v>21</v>
      </c>
    </row>
    <row r="44" spans="1:3">
      <c r="A44" s="3" t="s">
        <v>65</v>
      </c>
      <c r="B44" s="7" t="str">
        <f t="shared" si="2"/>
        <v>Stanton, Wilts</v>
      </c>
      <c r="C44" s="7">
        <f t="shared" si="3"/>
        <v>14</v>
      </c>
    </row>
    <row r="45" spans="1:3">
      <c r="A45" s="3" t="s">
        <v>66</v>
      </c>
      <c r="B45" s="7" t="str">
        <f t="shared" si="2"/>
        <v>East Grimstead Sussex</v>
      </c>
      <c r="C45" s="7">
        <f t="shared" si="3"/>
        <v>21</v>
      </c>
    </row>
    <row r="46" spans="1:3">
      <c r="A46" s="3" t="s">
        <v>67</v>
      </c>
      <c r="B46" s="7" t="str">
        <f t="shared" si="2"/>
        <v>Canterbury</v>
      </c>
      <c r="C46" s="7">
        <f t="shared" si="3"/>
        <v>10</v>
      </c>
    </row>
    <row r="47" spans="1:3">
      <c r="A47" s="3" t="s">
        <v>68</v>
      </c>
      <c r="B47" s="7" t="str">
        <f t="shared" si="2"/>
        <v>Deale</v>
      </c>
      <c r="C47" s="7">
        <f t="shared" si="3"/>
        <v>5</v>
      </c>
    </row>
    <row r="48" spans="1:3">
      <c r="A48" s="3" t="s">
        <v>291</v>
      </c>
      <c r="B48" s="7" t="str">
        <f t="shared" si="2"/>
        <v>St Bride, London</v>
      </c>
      <c r="C48" s="7">
        <f t="shared" si="3"/>
        <v>16</v>
      </c>
    </row>
    <row r="49" spans="1:3">
      <c r="A49" s="3" t="s">
        <v>53</v>
      </c>
      <c r="B49" s="7" t="str">
        <f t="shared" si="2"/>
        <v>St Sepulchre</v>
      </c>
      <c r="C49" s="7">
        <f t="shared" si="3"/>
        <v>12</v>
      </c>
    </row>
    <row r="50" spans="1:3">
      <c r="A50" s="3" t="s">
        <v>291</v>
      </c>
      <c r="B50" s="7" t="str">
        <f t="shared" si="2"/>
        <v>St Bride, London</v>
      </c>
      <c r="C50" s="7">
        <f t="shared" si="3"/>
        <v>16</v>
      </c>
    </row>
    <row r="51" spans="1:3">
      <c r="A51" s="3" t="s">
        <v>34</v>
      </c>
      <c r="B51" s="7" t="str">
        <f t="shared" si="2"/>
        <v>St Martin In The Fields</v>
      </c>
      <c r="C51" s="7">
        <f t="shared" si="3"/>
        <v>23</v>
      </c>
    </row>
    <row r="52" spans="1:3">
      <c r="A52" s="3" t="s">
        <v>292</v>
      </c>
      <c r="B52" s="7" t="str">
        <f t="shared" si="2"/>
        <v>St Edmundthe King Lombard Street, London</v>
      </c>
      <c r="C52" s="7">
        <f t="shared" si="3"/>
        <v>40</v>
      </c>
    </row>
    <row r="53" spans="1:3">
      <c r="A53" s="3" t="s">
        <v>71</v>
      </c>
      <c r="B53" s="7" t="str">
        <f t="shared" si="2"/>
        <v>St Giles Cripplegate</v>
      </c>
      <c r="C53" s="7">
        <f t="shared" si="3"/>
        <v>20</v>
      </c>
    </row>
    <row r="54" spans="1:3">
      <c r="A54" s="3" t="s">
        <v>72</v>
      </c>
      <c r="B54" s="7" t="str">
        <f t="shared" si="2"/>
        <v>Westminster</v>
      </c>
      <c r="C54" s="7">
        <f t="shared" si="3"/>
        <v>11</v>
      </c>
    </row>
    <row r="55" spans="1:3">
      <c r="A55" s="3" t="s">
        <v>73</v>
      </c>
      <c r="B55" s="7" t="str">
        <f t="shared" si="2"/>
        <v>Finchamstead Berks</v>
      </c>
      <c r="C55" s="7">
        <f t="shared" si="3"/>
        <v>18</v>
      </c>
    </row>
    <row r="56" spans="1:3">
      <c r="A56" s="6" t="s">
        <v>27</v>
      </c>
      <c r="B56" s="7" t="str">
        <f t="shared" si="2"/>
        <v>St Andrew Holborn</v>
      </c>
      <c r="C56" s="7">
        <f t="shared" si="3"/>
        <v>17</v>
      </c>
    </row>
    <row r="57" spans="1:3">
      <c r="A57" s="3" t="s">
        <v>74</v>
      </c>
      <c r="B57" s="7" t="str">
        <f t="shared" si="2"/>
        <v>Alford Lincoln</v>
      </c>
      <c r="C57" s="7">
        <f t="shared" si="3"/>
        <v>14</v>
      </c>
    </row>
    <row r="58" spans="1:3">
      <c r="A58" s="3" t="s">
        <v>293</v>
      </c>
      <c r="B58" s="7" t="str">
        <f t="shared" si="2"/>
        <v>Waltham Abbey, Essex</v>
      </c>
      <c r="C58" s="7">
        <f t="shared" si="3"/>
        <v>20</v>
      </c>
    </row>
    <row r="59" spans="1:3">
      <c r="A59" s="3" t="s">
        <v>294</v>
      </c>
      <c r="B59" s="7" t="str">
        <f t="shared" si="2"/>
        <v>Islington, Middlesex</v>
      </c>
      <c r="C59" s="7">
        <f t="shared" si="3"/>
        <v>20</v>
      </c>
    </row>
    <row r="60" spans="1:3">
      <c r="A60" s="3" t="s">
        <v>63</v>
      </c>
      <c r="B60" s="7" t="str">
        <f t="shared" si="2"/>
        <v>Windsor Berks</v>
      </c>
      <c r="C60" s="7">
        <f t="shared" si="3"/>
        <v>13</v>
      </c>
    </row>
    <row r="61" spans="1:3">
      <c r="A61" s="3" t="s">
        <v>77</v>
      </c>
      <c r="B61" s="7" t="str">
        <f t="shared" si="2"/>
        <v>St Peter Le Poor</v>
      </c>
      <c r="C61" s="7">
        <f t="shared" si="3"/>
        <v>16</v>
      </c>
    </row>
    <row r="62" spans="1:3">
      <c r="A62" s="3" t="s">
        <v>34</v>
      </c>
      <c r="B62" s="7" t="str">
        <f t="shared" si="2"/>
        <v>St Martin In The Fields</v>
      </c>
      <c r="C62" s="7">
        <f t="shared" si="3"/>
        <v>23</v>
      </c>
    </row>
    <row r="63" spans="1:3">
      <c r="A63" s="3" t="s">
        <v>78</v>
      </c>
      <c r="B63" s="7" t="str">
        <f t="shared" si="2"/>
        <v>St James Clerkenwell</v>
      </c>
      <c r="C63" s="7">
        <f t="shared" si="3"/>
        <v>20</v>
      </c>
    </row>
    <row r="64" spans="1:3">
      <c r="A64" s="3" t="s">
        <v>295</v>
      </c>
      <c r="B64" s="7" t="str">
        <f t="shared" si="2"/>
        <v>Charlwood, Surrey</v>
      </c>
      <c r="C64" s="7">
        <f t="shared" si="3"/>
        <v>17</v>
      </c>
    </row>
    <row r="65" spans="1:3">
      <c r="A65" s="3" t="s">
        <v>61</v>
      </c>
      <c r="B65" s="7" t="str">
        <f t="shared" si="2"/>
        <v>St Dunstan In The West</v>
      </c>
      <c r="C65" s="7">
        <f t="shared" si="3"/>
        <v>22</v>
      </c>
    </row>
    <row r="66" spans="1:3">
      <c r="A66" s="3" t="s">
        <v>34</v>
      </c>
      <c r="B66" s="7" t="str">
        <f t="shared" si="2"/>
        <v>St Martin In The Fields</v>
      </c>
      <c r="C66" s="7">
        <f t="shared" si="3"/>
        <v>23</v>
      </c>
    </row>
    <row r="67" spans="1:3">
      <c r="A67" s="3" t="s">
        <v>286</v>
      </c>
      <c r="B67" s="7" t="str">
        <f t="shared" si="2"/>
        <v>Lambeth, Surrey</v>
      </c>
      <c r="C67" s="7">
        <f t="shared" si="3"/>
        <v>15</v>
      </c>
    </row>
    <row r="68" spans="1:3">
      <c r="A68" s="3" t="s">
        <v>80</v>
      </c>
      <c r="B68" s="7" t="str">
        <f>TRIM(A68)</f>
        <v>Rusper Sussex</v>
      </c>
      <c r="C68" s="7">
        <f>LEN(B68)</f>
        <v>13</v>
      </c>
    </row>
    <row r="69" spans="1:3">
      <c r="A69" s="3" t="s">
        <v>296</v>
      </c>
      <c r="B69" s="7" t="str">
        <f>TRIM(A69)</f>
        <v>Sittingbourne, Kent</v>
      </c>
      <c r="C69" s="7">
        <f>LEN(B69)</f>
        <v>19</v>
      </c>
    </row>
    <row r="70" spans="1:3">
      <c r="A70" s="3" t="s">
        <v>297</v>
      </c>
      <c r="B70" s="7" t="str">
        <f>TRIM(A70)</f>
        <v>St Alban Wood Street, London</v>
      </c>
      <c r="C70" s="7">
        <f>LEN(B70)</f>
        <v>28</v>
      </c>
    </row>
    <row r="71" spans="1:3">
      <c r="A71" s="3" t="s">
        <v>294</v>
      </c>
      <c r="B71" s="7" t="str">
        <f>TRIM(A71)</f>
        <v>Islington, Middlesex</v>
      </c>
      <c r="C71" s="7">
        <f>LEN(B71)</f>
        <v>20</v>
      </c>
    </row>
    <row r="72" spans="1:3">
      <c r="A72" s="3" t="s">
        <v>298</v>
      </c>
      <c r="B72" s="7" t="str">
        <f>TRIM(A72)</f>
        <v>Ickingham, Middlesex</v>
      </c>
      <c r="C72" s="7">
        <f>LEN(B72)</f>
        <v>20</v>
      </c>
    </row>
    <row r="73" spans="1:3">
      <c r="A73" s="3" t="s">
        <v>84</v>
      </c>
      <c r="B73" s="7" t="str">
        <f>TRIM(A73)</f>
        <v>St Mary Whitechapel</v>
      </c>
      <c r="C73" s="7">
        <f>LEN(B73)</f>
        <v>19</v>
      </c>
    </row>
    <row r="74" spans="1:3">
      <c r="A74" s="3" t="s">
        <v>299</v>
      </c>
      <c r="B74" s="7" t="str">
        <f>TRIM(A74)</f>
        <v>Maiden Lane, London</v>
      </c>
      <c r="C74" s="7">
        <f>LEN(B74)</f>
        <v>19</v>
      </c>
    </row>
    <row r="75" spans="1:3">
      <c r="A75" s="3" t="s">
        <v>300</v>
      </c>
      <c r="B75" s="7" t="str">
        <f>TRIM(A75)</f>
        <v>St Catherine Coleman, London</v>
      </c>
      <c r="C75" s="7">
        <f>LEN(B75)</f>
        <v>28</v>
      </c>
    </row>
    <row r="76" spans="1:3">
      <c r="A76" s="3" t="s">
        <v>87</v>
      </c>
      <c r="B76" s="7" t="str">
        <f>TRIM(A76)</f>
        <v>Islington</v>
      </c>
      <c r="C76" s="7">
        <f>LEN(B76)</f>
        <v>9</v>
      </c>
    </row>
    <row r="77" spans="1:3">
      <c r="A77" s="3" t="s">
        <v>88</v>
      </c>
      <c r="B77" s="7" t="str">
        <f>TRIM(A77)</f>
        <v>St Botolph Billingsgate</v>
      </c>
      <c r="C77" s="7">
        <f>LEN(B77)</f>
        <v>23</v>
      </c>
    </row>
    <row r="78" spans="1:3">
      <c r="A78" s="3" t="s">
        <v>301</v>
      </c>
      <c r="B78" s="7" t="str">
        <f>TRIM(A78)</f>
        <v>Nicholas Lane, London</v>
      </c>
      <c r="C78" s="7">
        <f>LEN(B78)</f>
        <v>21</v>
      </c>
    </row>
    <row r="79" spans="1:3">
      <c r="A79" s="3" t="s">
        <v>302</v>
      </c>
      <c r="B79" s="7" t="str">
        <f>TRIM(A79)</f>
        <v>Corby Kesteven Lincoln, London</v>
      </c>
      <c r="C79" s="7">
        <f>LEN(B79)</f>
        <v>30</v>
      </c>
    </row>
    <row r="80" spans="1:3">
      <c r="A80" s="3" t="s">
        <v>91</v>
      </c>
      <c r="B80" s="7" t="str">
        <f>TRIM(A80)</f>
        <v>Henley On Thames</v>
      </c>
      <c r="C80" s="7">
        <f>LEN(B80)</f>
        <v>16</v>
      </c>
    </row>
    <row r="81" spans="1:3">
      <c r="A81" s="3" t="s">
        <v>303</v>
      </c>
      <c r="B81" s="7" t="str">
        <f>TRIM(A81)</f>
        <v>Croydon, Surrey</v>
      </c>
      <c r="C81" s="7">
        <f>LEN(B81)</f>
        <v>15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6"/>
  <sheetViews>
    <sheetView workbookViewId="0">
      <selection activeCell="A1" sqref="A1"/>
    </sheetView>
  </sheetViews>
  <sheetFormatPr defaultColWidth="9.14285714285714" defaultRowHeight="15" outlineLevelCol="2"/>
  <cols>
    <col min="1" max="1" width="43.5714285714286" style="5" customWidth="1"/>
    <col min="2" max="2" width="5.85714285714286" style="5" customWidth="1"/>
    <col min="3" max="3" width="7.71428571428571" style="5" customWidth="1"/>
    <col min="4" max="16384" width="9.14285714285714" style="5"/>
  </cols>
  <sheetData>
    <row r="1" spans="1:1">
      <c r="A1" s="1" t="s">
        <v>304</v>
      </c>
    </row>
    <row r="2" s="5" customFormat="1" spans="1:3">
      <c r="A2" s="2" t="s">
        <v>0</v>
      </c>
      <c r="B2" s="2" t="s">
        <v>305</v>
      </c>
      <c r="C2" s="2" t="s">
        <v>306</v>
      </c>
    </row>
    <row r="3" s="5" customFormat="1" spans="1:3">
      <c r="A3" s="3" t="s">
        <v>128</v>
      </c>
      <c r="B3" s="7" t="str">
        <f>LEFT(A3)</f>
        <v>E</v>
      </c>
      <c r="C3" s="7" t="str">
        <f>RIGHT(A3)</f>
        <v>m</v>
      </c>
    </row>
    <row r="4" s="5" customFormat="1" spans="1:3">
      <c r="A4" s="3" t="s">
        <v>110</v>
      </c>
      <c r="B4" s="7" t="str">
        <f t="shared" ref="B4:B35" si="0">LEFT(A4)</f>
        <v>C</v>
      </c>
      <c r="C4" s="7" t="str">
        <f t="shared" ref="C4:C35" si="1">RIGHT(A4)</f>
        <v>e</v>
      </c>
    </row>
    <row r="5" s="5" customFormat="1" spans="1:3">
      <c r="A5" s="3" t="s">
        <v>8</v>
      </c>
      <c r="B5" s="7" t="str">
        <f t="shared" si="0"/>
        <v>Y</v>
      </c>
      <c r="C5" s="7" t="str">
        <f t="shared" si="1"/>
        <v>m</v>
      </c>
    </row>
    <row r="6" s="5" customFormat="1" spans="1:3">
      <c r="A6" s="3" t="s">
        <v>15</v>
      </c>
      <c r="B6" s="7" t="str">
        <f t="shared" si="0"/>
        <v>C</v>
      </c>
      <c r="C6" s="7" t="str">
        <f t="shared" si="1"/>
        <v>y</v>
      </c>
    </row>
    <row r="7" s="5" customFormat="1" spans="1:3">
      <c r="A7" s="3" t="s">
        <v>123</v>
      </c>
      <c r="B7" s="7" t="str">
        <f t="shared" si="0"/>
        <v>D</v>
      </c>
      <c r="C7" s="7" t="str">
        <f t="shared" si="1"/>
        <v>s</v>
      </c>
    </row>
    <row r="8" s="5" customFormat="1" spans="1:3">
      <c r="A8" s="3" t="s">
        <v>5</v>
      </c>
      <c r="B8" s="7" t="str">
        <f t="shared" si="0"/>
        <v>A</v>
      </c>
      <c r="C8" s="7" t="str">
        <f t="shared" si="1"/>
        <v>m</v>
      </c>
    </row>
    <row r="9" s="5" customFormat="1" spans="1:3">
      <c r="A9" s="3" t="s">
        <v>18</v>
      </c>
      <c r="B9" s="7" t="str">
        <f t="shared" si="0"/>
        <v>M</v>
      </c>
      <c r="C9" s="7" t="str">
        <f t="shared" si="1"/>
        <v>a</v>
      </c>
    </row>
    <row r="10" s="5" customFormat="1" spans="1:3">
      <c r="A10" s="3" t="s">
        <v>112</v>
      </c>
      <c r="B10" s="7" t="str">
        <f t="shared" si="0"/>
        <v>C</v>
      </c>
      <c r="C10" s="7" t="str">
        <f t="shared" si="1"/>
        <v>l</v>
      </c>
    </row>
    <row r="11" s="5" customFormat="1" spans="1:3">
      <c r="A11" s="3" t="s">
        <v>118</v>
      </c>
      <c r="B11" s="7" t="str">
        <f t="shared" si="0"/>
        <v>C</v>
      </c>
      <c r="C11" s="7" t="str">
        <f t="shared" si="1"/>
        <v>c</v>
      </c>
    </row>
    <row r="12" s="5" customFormat="1" spans="1:3">
      <c r="A12" s="3" t="s">
        <v>146</v>
      </c>
      <c r="B12" s="7" t="str">
        <f t="shared" si="0"/>
        <v>P</v>
      </c>
      <c r="C12" s="7" t="str">
        <f t="shared" si="1"/>
        <v>e</v>
      </c>
    </row>
    <row r="13" s="5" customFormat="1" spans="1:3">
      <c r="A13" s="3" t="s">
        <v>148</v>
      </c>
      <c r="B13" s="7" t="str">
        <f t="shared" si="0"/>
        <v>P</v>
      </c>
      <c r="C13" s="7" t="str">
        <f t="shared" si="1"/>
        <v>l</v>
      </c>
    </row>
    <row r="14" s="5" customFormat="1" spans="1:3">
      <c r="A14" s="3" t="s">
        <v>126</v>
      </c>
      <c r="B14" s="7" t="str">
        <f t="shared" si="0"/>
        <v>E</v>
      </c>
      <c r="C14" s="7" t="str">
        <f t="shared" si="1"/>
        <v>m</v>
      </c>
    </row>
    <row r="15" s="5" customFormat="1" spans="1:3">
      <c r="A15" s="3" t="s">
        <v>17</v>
      </c>
      <c r="B15" s="7" t="str">
        <f t="shared" si="0"/>
        <v>B</v>
      </c>
      <c r="C15" s="7" t="str">
        <f t="shared" si="1"/>
        <v>e</v>
      </c>
    </row>
    <row r="16" s="5" customFormat="1" spans="1:3">
      <c r="A16" s="3" t="s">
        <v>116</v>
      </c>
      <c r="B16" s="7" t="str">
        <f t="shared" si="0"/>
        <v>C</v>
      </c>
      <c r="C16" s="7" t="str">
        <f t="shared" si="1"/>
        <v>t</v>
      </c>
    </row>
    <row r="17" s="5" customFormat="1" spans="1:3">
      <c r="A17" s="3" t="s">
        <v>115</v>
      </c>
      <c r="B17" s="7" t="str">
        <f t="shared" si="0"/>
        <v>C</v>
      </c>
      <c r="C17" s="7" t="str">
        <f t="shared" si="1"/>
        <v>n</v>
      </c>
    </row>
    <row r="18" s="5" customFormat="1" spans="1:3">
      <c r="A18" s="3" t="s">
        <v>157</v>
      </c>
      <c r="B18" s="7" t="str">
        <f t="shared" si="0"/>
        <v>T</v>
      </c>
      <c r="C18" s="7" t="str">
        <f t="shared" si="1"/>
        <v>t</v>
      </c>
    </row>
    <row r="19" s="5" customFormat="1" spans="1:3">
      <c r="A19" s="3" t="s">
        <v>107</v>
      </c>
      <c r="B19" s="7" t="str">
        <f t="shared" si="0"/>
        <v>B</v>
      </c>
      <c r="C19" s="7" t="str">
        <f t="shared" si="1"/>
        <v>s</v>
      </c>
    </row>
    <row r="20" s="5" customFormat="1" spans="1:3">
      <c r="A20" s="3" t="s">
        <v>120</v>
      </c>
      <c r="B20" s="7" t="str">
        <f t="shared" si="0"/>
        <v>D</v>
      </c>
      <c r="C20" s="7" t="str">
        <f t="shared" si="1"/>
        <v>s</v>
      </c>
    </row>
    <row r="21" s="5" customFormat="1" spans="1:3">
      <c r="A21" s="3" t="s">
        <v>97</v>
      </c>
      <c r="B21" s="7" t="str">
        <f t="shared" si="0"/>
        <v>A</v>
      </c>
      <c r="C21" s="7" t="str">
        <f t="shared" si="1"/>
        <v>n</v>
      </c>
    </row>
    <row r="22" s="5" customFormat="1" spans="1:3">
      <c r="A22" s="3" t="s">
        <v>144</v>
      </c>
      <c r="B22" s="7" t="str">
        <f t="shared" si="0"/>
        <v>O</v>
      </c>
      <c r="C22" s="7" t="str">
        <f t="shared" si="1"/>
        <v>y</v>
      </c>
    </row>
    <row r="23" s="5" customFormat="1" spans="1:3">
      <c r="A23" s="3" t="s">
        <v>114</v>
      </c>
      <c r="B23" s="7" t="str">
        <f t="shared" si="0"/>
        <v>C</v>
      </c>
      <c r="C23" s="7" t="str">
        <f t="shared" si="1"/>
        <v>s</v>
      </c>
    </row>
    <row r="24" s="5" customFormat="1" spans="1:3">
      <c r="A24" s="3" t="s">
        <v>138</v>
      </c>
      <c r="B24" s="7" t="str">
        <f t="shared" si="0"/>
        <v>L</v>
      </c>
      <c r="C24" s="7" t="str">
        <f t="shared" si="1"/>
        <v>e</v>
      </c>
    </row>
    <row r="25" s="5" customFormat="1" spans="1:3">
      <c r="A25" s="3" t="s">
        <v>10</v>
      </c>
      <c r="B25" s="7" t="str">
        <f t="shared" si="0"/>
        <v>E</v>
      </c>
      <c r="C25" s="7" t="str">
        <f t="shared" si="1"/>
        <v>s</v>
      </c>
    </row>
    <row r="26" s="5" customFormat="1" spans="1:3">
      <c r="A26" s="3" t="s">
        <v>99</v>
      </c>
      <c r="B26" s="7" t="str">
        <f t="shared" si="0"/>
        <v>A</v>
      </c>
      <c r="C26" s="7" t="str">
        <f t="shared" si="1"/>
        <v>m</v>
      </c>
    </row>
    <row r="27" s="5" customFormat="1" spans="1:3">
      <c r="A27" s="3" t="s">
        <v>131</v>
      </c>
      <c r="B27" s="7" t="str">
        <f t="shared" si="0"/>
        <v>H</v>
      </c>
      <c r="C27" s="7" t="str">
        <f t="shared" si="1"/>
        <v>t</v>
      </c>
    </row>
    <row r="28" s="5" customFormat="1" spans="1:3">
      <c r="A28" s="3" t="s">
        <v>137</v>
      </c>
      <c r="B28" s="7" t="str">
        <f t="shared" si="0"/>
        <v>K</v>
      </c>
      <c r="C28" s="7" t="str">
        <f t="shared" si="1"/>
        <v>y</v>
      </c>
    </row>
    <row r="29" s="5" customFormat="1" spans="1:3">
      <c r="A29" s="3" t="s">
        <v>153</v>
      </c>
      <c r="B29" s="7" t="str">
        <f t="shared" si="0"/>
        <v>S</v>
      </c>
      <c r="C29" s="7" t="str">
        <f t="shared" si="1"/>
        <v>e</v>
      </c>
    </row>
    <row r="30" s="5" customFormat="1" spans="1:3">
      <c r="A30" s="3" t="s">
        <v>139</v>
      </c>
      <c r="B30" s="7" t="str">
        <f t="shared" si="0"/>
        <v>L</v>
      </c>
      <c r="C30" s="7" t="str">
        <f t="shared" si="1"/>
        <v>e</v>
      </c>
    </row>
    <row r="31" s="5" customFormat="1" spans="1:3">
      <c r="A31" s="3" t="s">
        <v>160</v>
      </c>
      <c r="B31" s="7" t="str">
        <f t="shared" si="0"/>
        <v>W</v>
      </c>
      <c r="C31" s="7" t="str">
        <f t="shared" si="1"/>
        <v>n</v>
      </c>
    </row>
    <row r="32" s="5" customFormat="1" spans="1:3">
      <c r="A32" s="3" t="s">
        <v>98</v>
      </c>
      <c r="B32" s="7" t="str">
        <f t="shared" si="0"/>
        <v>A</v>
      </c>
      <c r="C32" s="7" t="str">
        <f t="shared" si="1"/>
        <v>r</v>
      </c>
    </row>
    <row r="33" s="5" customFormat="1" spans="1:3">
      <c r="A33" s="3" t="s">
        <v>152</v>
      </c>
      <c r="B33" s="7" t="str">
        <f t="shared" si="0"/>
        <v>S</v>
      </c>
      <c r="C33" s="7" t="str">
        <f t="shared" si="1"/>
        <v>e</v>
      </c>
    </row>
    <row r="34" s="5" customFormat="1" spans="1:3">
      <c r="A34" s="3" t="s">
        <v>161</v>
      </c>
      <c r="B34" s="7" t="str">
        <f t="shared" si="0"/>
        <v>W</v>
      </c>
      <c r="C34" s="7" t="str">
        <f t="shared" si="1"/>
        <v>y</v>
      </c>
    </row>
    <row r="35" s="5" customFormat="1" spans="1:3">
      <c r="A35" s="3" t="s">
        <v>129</v>
      </c>
      <c r="B35" s="7" t="str">
        <f t="shared" si="0"/>
        <v>F</v>
      </c>
      <c r="C35" s="7" t="str">
        <f t="shared" si="1"/>
        <v>e</v>
      </c>
    </row>
    <row r="36" s="5" customFormat="1" spans="1:3">
      <c r="A36" s="3" t="s">
        <v>100</v>
      </c>
      <c r="B36" s="7" t="str">
        <f t="shared" ref="B36:B67" si="2">LEFT(A36)</f>
        <v>B</v>
      </c>
      <c r="C36" s="7" t="str">
        <f t="shared" ref="C36:C67" si="3">RIGHT(A36)</f>
        <v>d</v>
      </c>
    </row>
    <row r="37" s="5" customFormat="1" spans="1:3">
      <c r="A37" s="3" t="s">
        <v>117</v>
      </c>
      <c r="B37" s="7" t="str">
        <f t="shared" si="2"/>
        <v>C</v>
      </c>
      <c r="C37" s="7" t="str">
        <f t="shared" si="3"/>
        <v>l</v>
      </c>
    </row>
    <row r="38" s="5" customFormat="1" spans="1:3">
      <c r="A38" s="3" t="s">
        <v>121</v>
      </c>
      <c r="B38" s="7" t="str">
        <f t="shared" si="2"/>
        <v>D</v>
      </c>
      <c r="C38" s="7" t="str">
        <f t="shared" si="3"/>
        <v>s</v>
      </c>
    </row>
    <row r="39" s="5" customFormat="1" spans="1:3">
      <c r="A39" s="3" t="s">
        <v>130</v>
      </c>
      <c r="B39" s="7" t="str">
        <f t="shared" si="2"/>
        <v>G</v>
      </c>
      <c r="C39" s="7" t="str">
        <f t="shared" si="3"/>
        <v>l</v>
      </c>
    </row>
    <row r="40" s="5" customFormat="1" spans="1:3">
      <c r="A40" s="3" t="s">
        <v>108</v>
      </c>
      <c r="B40" s="7" t="str">
        <f t="shared" si="2"/>
        <v>B</v>
      </c>
      <c r="C40" s="7" t="str">
        <f t="shared" si="3"/>
        <v>l</v>
      </c>
    </row>
    <row r="41" s="5" customFormat="1" spans="1:3">
      <c r="A41" s="3" t="s">
        <v>12</v>
      </c>
      <c r="B41" s="7" t="str">
        <f t="shared" si="2"/>
        <v>Z</v>
      </c>
      <c r="C41" s="7" t="str">
        <f t="shared" si="3"/>
        <v>y</v>
      </c>
    </row>
    <row r="42" s="5" customFormat="1" spans="1:3">
      <c r="A42" s="3" t="s">
        <v>133</v>
      </c>
      <c r="B42" s="7" t="str">
        <f t="shared" si="2"/>
        <v>J</v>
      </c>
      <c r="C42" s="7" t="str">
        <f t="shared" si="3"/>
        <v>s</v>
      </c>
    </row>
    <row r="43" s="5" customFormat="1" spans="1:3">
      <c r="A43" s="3" t="s">
        <v>143</v>
      </c>
      <c r="B43" s="7" t="str">
        <f t="shared" si="2"/>
        <v>N</v>
      </c>
      <c r="C43" s="7" t="str">
        <f t="shared" si="3"/>
        <v>d</v>
      </c>
    </row>
    <row r="44" s="5" customFormat="1" spans="1:3">
      <c r="A44" s="3" t="s">
        <v>124</v>
      </c>
      <c r="B44" s="7" t="str">
        <f t="shared" si="2"/>
        <v>E</v>
      </c>
      <c r="C44" s="7" t="str">
        <f t="shared" si="3"/>
        <v>d</v>
      </c>
    </row>
    <row r="45" s="5" customFormat="1" spans="1:3">
      <c r="A45" s="3" t="s">
        <v>159</v>
      </c>
      <c r="B45" s="7" t="str">
        <f t="shared" si="2"/>
        <v>V</v>
      </c>
      <c r="C45" s="7" t="str">
        <f t="shared" si="3"/>
        <v>s</v>
      </c>
    </row>
    <row r="46" s="5" customFormat="1" spans="1:3">
      <c r="A46" s="3" t="s">
        <v>155</v>
      </c>
      <c r="B46" s="7" t="str">
        <f t="shared" si="2"/>
        <v>S</v>
      </c>
      <c r="C46" s="7" t="str">
        <f t="shared" si="3"/>
        <v>n</v>
      </c>
    </row>
    <row r="47" s="5" customFormat="1" spans="1:3">
      <c r="A47" s="3" t="s">
        <v>141</v>
      </c>
      <c r="B47" s="7" t="str">
        <f t="shared" si="2"/>
        <v>M</v>
      </c>
      <c r="C47" s="7" t="str">
        <f t="shared" si="3"/>
        <v>n</v>
      </c>
    </row>
    <row r="48" s="5" customFormat="1" spans="1:3">
      <c r="A48" s="3" t="s">
        <v>147</v>
      </c>
      <c r="B48" s="7" t="str">
        <f t="shared" si="2"/>
        <v>P</v>
      </c>
      <c r="C48" s="7" t="str">
        <f t="shared" si="3"/>
        <v>t</v>
      </c>
    </row>
    <row r="49" s="5" customFormat="1" spans="1:3">
      <c r="A49" s="3" t="s">
        <v>150</v>
      </c>
      <c r="B49" s="7" t="str">
        <f t="shared" si="2"/>
        <v>R</v>
      </c>
      <c r="C49" s="7" t="str">
        <f t="shared" si="3"/>
        <v>l</v>
      </c>
    </row>
    <row r="50" s="5" customFormat="1" spans="1:3">
      <c r="A50" s="3" t="s">
        <v>96</v>
      </c>
      <c r="B50" s="7" t="str">
        <f t="shared" si="2"/>
        <v>A</v>
      </c>
      <c r="C50" s="7" t="str">
        <f t="shared" si="3"/>
        <v>l</v>
      </c>
    </row>
    <row r="51" s="5" customFormat="1" spans="1:3">
      <c r="A51" s="3" t="s">
        <v>136</v>
      </c>
      <c r="B51" s="7" t="str">
        <f t="shared" si="2"/>
        <v>K</v>
      </c>
      <c r="C51" s="7" t="str">
        <f t="shared" si="3"/>
        <v>e</v>
      </c>
    </row>
    <row r="52" s="5" customFormat="1" spans="1:3">
      <c r="A52" s="3" t="s">
        <v>142</v>
      </c>
      <c r="B52" s="7" t="str">
        <f t="shared" si="2"/>
        <v>N</v>
      </c>
      <c r="C52" s="7" t="str">
        <f t="shared" si="3"/>
        <v>b</v>
      </c>
    </row>
    <row r="53" s="5" customFormat="1" spans="1:3">
      <c r="A53" s="3" t="s">
        <v>16</v>
      </c>
      <c r="B53" s="7" t="str">
        <f t="shared" si="2"/>
        <v>B</v>
      </c>
      <c r="C53" s="7" t="str">
        <f t="shared" si="3"/>
        <v>d</v>
      </c>
    </row>
    <row r="54" s="5" customFormat="1" spans="1:3">
      <c r="A54" s="3" t="s">
        <v>106</v>
      </c>
      <c r="B54" s="7" t="str">
        <f t="shared" si="2"/>
        <v>B</v>
      </c>
      <c r="C54" s="7" t="str">
        <f t="shared" si="3"/>
        <v>d</v>
      </c>
    </row>
    <row r="55" s="5" customFormat="1" spans="1:3">
      <c r="A55" s="3" t="s">
        <v>14</v>
      </c>
      <c r="B55" s="7" t="str">
        <f t="shared" si="2"/>
        <v>B</v>
      </c>
      <c r="C55" s="7" t="str">
        <f t="shared" si="3"/>
        <v>n</v>
      </c>
    </row>
    <row r="56" s="5" customFormat="1" spans="1:3">
      <c r="A56" s="6" t="s">
        <v>132</v>
      </c>
      <c r="B56" s="7" t="str">
        <f t="shared" si="2"/>
        <v>H</v>
      </c>
      <c r="C56" s="7" t="str">
        <f t="shared" si="3"/>
        <v>t</v>
      </c>
    </row>
    <row r="57" s="5" customFormat="1" spans="1:3">
      <c r="A57" s="3" t="s">
        <v>13</v>
      </c>
      <c r="B57" s="7" t="str">
        <f t="shared" si="2"/>
        <v>O</v>
      </c>
      <c r="C57" s="7" t="str">
        <f t="shared" si="3"/>
        <v>e</v>
      </c>
    </row>
    <row r="58" s="5" customFormat="1" spans="1:3">
      <c r="A58" s="3" t="s">
        <v>158</v>
      </c>
      <c r="B58" s="7" t="str">
        <f t="shared" si="2"/>
        <v>T</v>
      </c>
      <c r="C58" s="7" t="str">
        <f t="shared" si="3"/>
        <v>y</v>
      </c>
    </row>
    <row r="59" s="5" customFormat="1" spans="1:3">
      <c r="A59" s="3" t="s">
        <v>140</v>
      </c>
      <c r="B59" s="7" t="str">
        <f t="shared" si="2"/>
        <v>L</v>
      </c>
      <c r="C59" s="7" t="str">
        <f t="shared" si="3"/>
        <v>e</v>
      </c>
    </row>
    <row r="60" s="5" customFormat="1" spans="1:3">
      <c r="A60" s="3" t="s">
        <v>103</v>
      </c>
      <c r="B60" s="7" t="str">
        <f t="shared" si="2"/>
        <v>B</v>
      </c>
      <c r="C60" s="7" t="str">
        <f t="shared" si="3"/>
        <v>t</v>
      </c>
    </row>
    <row r="61" s="5" customFormat="1" spans="1:3">
      <c r="A61" s="3" t="s">
        <v>11</v>
      </c>
      <c r="B61" s="7" t="str">
        <f t="shared" si="2"/>
        <v>A</v>
      </c>
      <c r="C61" s="7" t="str">
        <f t="shared" si="3"/>
        <v>s</v>
      </c>
    </row>
    <row r="62" s="5" customFormat="1" spans="1:3">
      <c r="A62" s="3" t="s">
        <v>96</v>
      </c>
      <c r="B62" s="7" t="str">
        <f t="shared" si="2"/>
        <v>A</v>
      </c>
      <c r="C62" s="7" t="str">
        <f t="shared" si="3"/>
        <v>l</v>
      </c>
    </row>
    <row r="63" s="5" customFormat="1" spans="1:3">
      <c r="A63" s="3" t="s">
        <v>111</v>
      </c>
      <c r="B63" s="7" t="str">
        <f t="shared" si="2"/>
        <v>C</v>
      </c>
      <c r="C63" s="7" t="str">
        <f t="shared" si="3"/>
        <v>s</v>
      </c>
    </row>
    <row r="64" s="5" customFormat="1" spans="1:3">
      <c r="A64" s="3" t="s">
        <v>112</v>
      </c>
      <c r="B64" s="7" t="str">
        <f t="shared" si="2"/>
        <v>C</v>
      </c>
      <c r="C64" s="7" t="str">
        <f t="shared" si="3"/>
        <v>l</v>
      </c>
    </row>
    <row r="65" s="5" customFormat="1" spans="1:3">
      <c r="A65" s="3" t="s">
        <v>16</v>
      </c>
      <c r="B65" s="7" t="str">
        <f t="shared" si="2"/>
        <v>B</v>
      </c>
      <c r="C65" s="7" t="str">
        <f t="shared" si="3"/>
        <v>d</v>
      </c>
    </row>
    <row r="66" s="5" customFormat="1" spans="1:3">
      <c r="A66" s="3" t="s">
        <v>121</v>
      </c>
      <c r="B66" s="7" t="str">
        <f t="shared" si="2"/>
        <v>D</v>
      </c>
      <c r="C66" s="7" t="str">
        <f t="shared" si="3"/>
        <v>s</v>
      </c>
    </row>
    <row r="67" s="5" customFormat="1" spans="1:3">
      <c r="A67" s="3" t="s">
        <v>129</v>
      </c>
      <c r="B67" s="7" t="str">
        <f t="shared" si="2"/>
        <v>F</v>
      </c>
      <c r="C67" s="7" t="str">
        <f t="shared" si="3"/>
        <v>e</v>
      </c>
    </row>
    <row r="68" s="5" customFormat="1" spans="1:3">
      <c r="A68" s="3" t="s">
        <v>158</v>
      </c>
      <c r="B68" s="7" t="str">
        <f t="shared" ref="B68:B86" si="4">LEFT(A68)</f>
        <v>T</v>
      </c>
      <c r="C68" s="7" t="str">
        <f t="shared" ref="C68:C86" si="5">RIGHT(A68)</f>
        <v>y</v>
      </c>
    </row>
    <row r="69" s="5" customFormat="1" spans="1:3">
      <c r="A69" s="3" t="s">
        <v>146</v>
      </c>
      <c r="B69" s="7" t="str">
        <f t="shared" si="4"/>
        <v>P</v>
      </c>
      <c r="C69" s="7" t="str">
        <f t="shared" si="5"/>
        <v>e</v>
      </c>
    </row>
    <row r="70" s="5" customFormat="1" spans="1:3">
      <c r="A70" s="3" t="s">
        <v>157</v>
      </c>
      <c r="B70" s="7" t="str">
        <f t="shared" si="4"/>
        <v>T</v>
      </c>
      <c r="C70" s="7" t="str">
        <f t="shared" si="5"/>
        <v>t</v>
      </c>
    </row>
    <row r="71" s="5" customFormat="1" spans="1:3">
      <c r="A71" s="3" t="s">
        <v>161</v>
      </c>
      <c r="B71" s="7" t="str">
        <f t="shared" si="4"/>
        <v>W</v>
      </c>
      <c r="C71" s="7" t="str">
        <f t="shared" si="5"/>
        <v>y</v>
      </c>
    </row>
    <row r="72" s="5" customFormat="1" spans="1:3">
      <c r="A72" s="3" t="s">
        <v>149</v>
      </c>
      <c r="B72" s="7" t="str">
        <f t="shared" si="4"/>
        <v>R</v>
      </c>
      <c r="C72" s="7" t="str">
        <f t="shared" si="5"/>
        <v>e</v>
      </c>
    </row>
    <row r="73" s="5" customFormat="1" spans="1:3">
      <c r="A73" s="3" t="s">
        <v>156</v>
      </c>
      <c r="B73" s="7" t="str">
        <f t="shared" si="4"/>
        <v>S</v>
      </c>
      <c r="C73" s="7" t="str">
        <f t="shared" si="5"/>
        <v>e</v>
      </c>
    </row>
    <row r="74" s="5" customFormat="1" spans="1:3">
      <c r="A74" s="3" t="s">
        <v>107</v>
      </c>
      <c r="B74" s="7" t="str">
        <f t="shared" si="4"/>
        <v>B</v>
      </c>
      <c r="C74" s="7" t="str">
        <f t="shared" si="5"/>
        <v>s</v>
      </c>
    </row>
    <row r="75" s="5" customFormat="1" spans="1:3">
      <c r="A75" s="3" t="s">
        <v>160</v>
      </c>
      <c r="B75" s="7" t="str">
        <f t="shared" si="4"/>
        <v>W</v>
      </c>
      <c r="C75" s="7" t="str">
        <f t="shared" si="5"/>
        <v>n</v>
      </c>
    </row>
    <row r="76" s="5" customFormat="1" spans="1:3">
      <c r="A76" s="3" t="s">
        <v>139</v>
      </c>
      <c r="B76" s="7" t="str">
        <f t="shared" si="4"/>
        <v>L</v>
      </c>
      <c r="C76" s="7" t="str">
        <f t="shared" si="5"/>
        <v>e</v>
      </c>
    </row>
    <row r="77" s="5" customFormat="1" spans="1:3">
      <c r="A77" s="3" t="s">
        <v>116</v>
      </c>
      <c r="B77" s="7" t="str">
        <f t="shared" si="4"/>
        <v>C</v>
      </c>
      <c r="C77" s="7" t="str">
        <f t="shared" si="5"/>
        <v>t</v>
      </c>
    </row>
    <row r="78" s="5" customFormat="1" spans="1:3">
      <c r="A78" s="3" t="s">
        <v>138</v>
      </c>
      <c r="B78" s="7" t="str">
        <f t="shared" si="4"/>
        <v>L</v>
      </c>
      <c r="C78" s="7" t="str">
        <f t="shared" si="5"/>
        <v>e</v>
      </c>
    </row>
    <row r="79" s="5" customFormat="1" spans="1:3">
      <c r="A79" s="3" t="s">
        <v>122</v>
      </c>
      <c r="B79" s="7" t="str">
        <f t="shared" si="4"/>
        <v>D</v>
      </c>
      <c r="C79" s="7" t="str">
        <f t="shared" si="5"/>
        <v>s</v>
      </c>
    </row>
    <row r="80" s="5" customFormat="1" spans="1:3">
      <c r="A80" s="3" t="s">
        <v>118</v>
      </c>
      <c r="B80" s="7" t="str">
        <f t="shared" si="4"/>
        <v>C</v>
      </c>
      <c r="C80" s="7" t="str">
        <f t="shared" si="5"/>
        <v>c</v>
      </c>
    </row>
    <row r="81" s="5" customFormat="1" spans="1:3">
      <c r="A81" s="3" t="s">
        <v>99</v>
      </c>
      <c r="B81" s="7" t="str">
        <f t="shared" si="4"/>
        <v>A</v>
      </c>
      <c r="C81" s="7" t="str">
        <f t="shared" si="5"/>
        <v>m</v>
      </c>
    </row>
    <row r="82" spans="1:3">
      <c r="A82" s="3" t="s">
        <v>111</v>
      </c>
      <c r="B82" s="7" t="str">
        <f t="shared" si="4"/>
        <v>C</v>
      </c>
      <c r="C82" s="7" t="str">
        <f t="shared" si="5"/>
        <v>s</v>
      </c>
    </row>
    <row r="83" spans="1:3">
      <c r="A83" s="3" t="s">
        <v>12</v>
      </c>
      <c r="B83" s="7" t="str">
        <f t="shared" si="4"/>
        <v>Z</v>
      </c>
      <c r="C83" s="7" t="str">
        <f t="shared" si="5"/>
        <v>y</v>
      </c>
    </row>
    <row r="84" spans="1:3">
      <c r="A84" s="3" t="s">
        <v>130</v>
      </c>
      <c r="B84" s="7" t="str">
        <f t="shared" si="4"/>
        <v>G</v>
      </c>
      <c r="C84" s="7" t="str">
        <f t="shared" si="5"/>
        <v>l</v>
      </c>
    </row>
    <row r="85" spans="1:3">
      <c r="A85" s="3" t="s">
        <v>155</v>
      </c>
      <c r="B85" s="7" t="str">
        <f t="shared" si="4"/>
        <v>S</v>
      </c>
      <c r="C85" s="7" t="str">
        <f t="shared" si="5"/>
        <v>n</v>
      </c>
    </row>
    <row r="86" spans="1:3">
      <c r="A86" s="3" t="s">
        <v>107</v>
      </c>
      <c r="B86" s="7" t="str">
        <f t="shared" si="4"/>
        <v>B</v>
      </c>
      <c r="C86" s="7" t="str">
        <f t="shared" si="5"/>
        <v>s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2"/>
  <sheetViews>
    <sheetView workbookViewId="0">
      <selection activeCell="A1" sqref="A1"/>
    </sheetView>
  </sheetViews>
  <sheetFormatPr defaultColWidth="9.14285714285714" defaultRowHeight="12.75" outlineLevelCol="1"/>
  <sheetData>
    <row r="1" spans="1:1">
      <c r="A1" s="1" t="s">
        <v>307</v>
      </c>
    </row>
    <row r="2" ht="15" spans="1:2">
      <c r="A2" s="2" t="s">
        <v>249</v>
      </c>
      <c r="B2" s="2" t="s">
        <v>308</v>
      </c>
    </row>
    <row r="3" ht="15" spans="1:2">
      <c r="A3" s="3">
        <v>6800</v>
      </c>
      <c r="B3" s="4">
        <f>COUNTA(A3:A604)</f>
        <v>45</v>
      </c>
    </row>
    <row r="4" ht="15" spans="1:2">
      <c r="A4" s="3">
        <v>6800</v>
      </c>
      <c r="B4" s="5"/>
    </row>
    <row r="5" ht="15" spans="1:2">
      <c r="A5" s="3">
        <v>6800</v>
      </c>
      <c r="B5" s="5"/>
    </row>
    <row r="6" ht="15" spans="1:2">
      <c r="A6" s="3">
        <v>6800</v>
      </c>
      <c r="B6" s="5"/>
    </row>
    <row r="7" ht="15" spans="1:2">
      <c r="A7" s="3"/>
      <c r="B7" s="5"/>
    </row>
    <row r="8" ht="15" spans="1:2">
      <c r="A8" s="3">
        <v>6800</v>
      </c>
      <c r="B8" s="5"/>
    </row>
    <row r="9" ht="15" spans="1:2">
      <c r="A9" s="3"/>
      <c r="B9" s="5"/>
    </row>
    <row r="10" ht="15" spans="1:2">
      <c r="A10" s="3"/>
      <c r="B10" s="5"/>
    </row>
    <row r="11" ht="15" spans="1:2">
      <c r="A11" s="3">
        <v>6800</v>
      </c>
      <c r="B11" s="5"/>
    </row>
    <row r="12" ht="15" spans="1:2">
      <c r="A12" s="3">
        <v>6800</v>
      </c>
      <c r="B12" s="5"/>
    </row>
    <row r="13" ht="15" spans="1:2">
      <c r="A13" s="3"/>
      <c r="B13" s="5"/>
    </row>
    <row r="14" ht="15" spans="1:2">
      <c r="A14" s="3"/>
      <c r="B14" s="5"/>
    </row>
    <row r="15" ht="15" spans="1:2">
      <c r="A15" s="3">
        <v>6800</v>
      </c>
      <c r="B15" s="5"/>
    </row>
    <row r="16" ht="15" spans="1:2">
      <c r="A16" s="3">
        <v>6800</v>
      </c>
      <c r="B16" s="5"/>
    </row>
    <row r="17" ht="15" spans="1:2">
      <c r="A17" s="3">
        <v>6800</v>
      </c>
      <c r="B17" s="5"/>
    </row>
    <row r="18" ht="15" spans="1:2">
      <c r="A18" s="3">
        <v>6800</v>
      </c>
      <c r="B18" s="5"/>
    </row>
    <row r="19" ht="15" spans="1:2">
      <c r="A19" s="3">
        <v>6800</v>
      </c>
      <c r="B19" s="5"/>
    </row>
    <row r="20" ht="15" spans="1:2">
      <c r="A20" s="3">
        <v>7200</v>
      </c>
      <c r="B20" s="5"/>
    </row>
    <row r="21" ht="15" spans="1:2">
      <c r="A21" s="3">
        <v>7200</v>
      </c>
      <c r="B21" s="5"/>
    </row>
    <row r="22" ht="15" spans="1:2">
      <c r="A22" s="3"/>
      <c r="B22" s="5"/>
    </row>
    <row r="23" ht="15" spans="1:2">
      <c r="A23" s="3"/>
      <c r="B23" s="5"/>
    </row>
    <row r="24" ht="15" spans="1:2">
      <c r="A24" s="3">
        <v>7200</v>
      </c>
      <c r="B24" s="5"/>
    </row>
    <row r="25" ht="15" spans="1:2">
      <c r="A25" s="3">
        <v>7200</v>
      </c>
      <c r="B25" s="5"/>
    </row>
    <row r="26" ht="15" spans="1:2">
      <c r="A26" s="3"/>
      <c r="B26" s="5"/>
    </row>
    <row r="27" ht="15" spans="1:2">
      <c r="A27" s="3"/>
      <c r="B27" s="5"/>
    </row>
    <row r="28" ht="15" spans="1:2">
      <c r="A28" s="3">
        <v>7200</v>
      </c>
      <c r="B28" s="5"/>
    </row>
    <row r="29" ht="15" spans="1:2">
      <c r="A29" s="3">
        <v>7200</v>
      </c>
      <c r="B29" s="5"/>
    </row>
    <row r="30" ht="15" spans="1:2">
      <c r="A30" s="3"/>
      <c r="B30" s="5"/>
    </row>
    <row r="31" ht="15" spans="1:2">
      <c r="A31" s="3">
        <v>7200</v>
      </c>
      <c r="B31" s="5"/>
    </row>
    <row r="32" ht="15" spans="1:2">
      <c r="A32" s="3"/>
      <c r="B32" s="5"/>
    </row>
    <row r="33" ht="15" spans="1:2">
      <c r="A33" s="3">
        <v>7200</v>
      </c>
      <c r="B33" s="5"/>
    </row>
    <row r="34" ht="15" spans="1:2">
      <c r="A34" s="3">
        <v>7200</v>
      </c>
      <c r="B34" s="5"/>
    </row>
    <row r="35" ht="15" spans="1:2">
      <c r="A35" s="3"/>
      <c r="B35" s="5"/>
    </row>
    <row r="36" ht="15" spans="1:2">
      <c r="A36" s="3"/>
      <c r="B36" s="5"/>
    </row>
    <row r="37" ht="15" spans="1:2">
      <c r="A37" s="3">
        <v>8000</v>
      </c>
      <c r="B37" s="5"/>
    </row>
    <row r="38" ht="15" spans="1:2">
      <c r="A38" s="3">
        <v>8000</v>
      </c>
      <c r="B38" s="5"/>
    </row>
    <row r="39" ht="15" spans="1:2">
      <c r="A39" s="3"/>
      <c r="B39" s="5"/>
    </row>
    <row r="40" ht="15" spans="1:2">
      <c r="A40" s="3"/>
      <c r="B40" s="5"/>
    </row>
    <row r="41" ht="15" spans="1:2">
      <c r="A41" s="3"/>
      <c r="B41" s="5"/>
    </row>
    <row r="42" ht="15" spans="1:2">
      <c r="A42" s="3"/>
      <c r="B42" s="5"/>
    </row>
    <row r="43" ht="15" spans="1:2">
      <c r="A43" s="3">
        <v>8000</v>
      </c>
      <c r="B43" s="5"/>
    </row>
    <row r="44" ht="15" spans="1:2">
      <c r="A44" s="3">
        <v>8000</v>
      </c>
      <c r="B44" s="5"/>
    </row>
    <row r="45" ht="15" spans="1:2">
      <c r="A45" s="3"/>
      <c r="B45" s="5"/>
    </row>
    <row r="46" ht="15" spans="1:2">
      <c r="A46" s="3"/>
      <c r="B46" s="5"/>
    </row>
    <row r="47" ht="15" spans="1:2">
      <c r="A47" s="3">
        <v>8000</v>
      </c>
      <c r="B47" s="5"/>
    </row>
    <row r="48" ht="15" spans="1:2">
      <c r="A48" s="3"/>
      <c r="B48" s="5"/>
    </row>
    <row r="49" ht="15" spans="1:2">
      <c r="A49" s="3">
        <v>8000</v>
      </c>
      <c r="B49" s="5"/>
    </row>
    <row r="50" ht="15" spans="1:2">
      <c r="A50" s="3">
        <v>8000</v>
      </c>
      <c r="B50" s="5"/>
    </row>
    <row r="51" ht="15" spans="1:2">
      <c r="A51" s="3">
        <v>8000</v>
      </c>
      <c r="B51" s="5"/>
    </row>
    <row r="52" ht="15" spans="1:2">
      <c r="A52" s="3"/>
      <c r="B52" s="5"/>
    </row>
    <row r="53" ht="15" spans="1:2">
      <c r="A53" s="3"/>
      <c r="B53" s="5"/>
    </row>
    <row r="54" ht="15" spans="1:2">
      <c r="A54" s="3"/>
      <c r="B54" s="5"/>
    </row>
    <row r="55" ht="15" spans="1:2">
      <c r="A55" s="3">
        <v>8000</v>
      </c>
      <c r="B55" s="5"/>
    </row>
    <row r="56" ht="15" spans="1:2">
      <c r="A56" s="6">
        <v>8000</v>
      </c>
      <c r="B56" s="5"/>
    </row>
    <row r="57" ht="15" spans="1:2">
      <c r="A57" s="3"/>
      <c r="B57" s="5"/>
    </row>
    <row r="58" ht="15" spans="1:2">
      <c r="A58" s="3">
        <v>8000</v>
      </c>
      <c r="B58" s="5"/>
    </row>
    <row r="59" ht="15" spans="1:2">
      <c r="A59" s="3"/>
      <c r="B59" s="5"/>
    </row>
    <row r="60" ht="15" spans="1:2">
      <c r="A60" s="3">
        <v>8000</v>
      </c>
      <c r="B60" s="5"/>
    </row>
    <row r="61" ht="15" spans="1:2">
      <c r="A61" s="3"/>
      <c r="B61" s="5"/>
    </row>
    <row r="62" ht="15" spans="1:2">
      <c r="A62" s="3">
        <v>7800</v>
      </c>
      <c r="B62" s="5"/>
    </row>
    <row r="63" ht="15" spans="1:2">
      <c r="A63" s="3">
        <v>7800</v>
      </c>
      <c r="B63" s="5"/>
    </row>
    <row r="64" ht="15" spans="1:2">
      <c r="A64" s="3"/>
      <c r="B64" s="5"/>
    </row>
    <row r="65" ht="15" spans="1:2">
      <c r="A65" s="3"/>
      <c r="B65" s="5"/>
    </row>
    <row r="66" ht="15" spans="1:2">
      <c r="A66" s="3">
        <v>7800</v>
      </c>
      <c r="B66" s="5"/>
    </row>
    <row r="67" ht="15" spans="1:2">
      <c r="A67" s="3">
        <v>7800</v>
      </c>
      <c r="B67" s="5"/>
    </row>
    <row r="68" ht="15" spans="1:2">
      <c r="A68" s="3"/>
      <c r="B68" s="5"/>
    </row>
    <row r="69" ht="15" spans="1:2">
      <c r="A69" s="3"/>
      <c r="B69" s="5"/>
    </row>
    <row r="70" ht="15" spans="1:2">
      <c r="A70" s="3">
        <v>7800</v>
      </c>
      <c r="B70" s="5"/>
    </row>
    <row r="71" ht="15" spans="1:2">
      <c r="A71" s="3">
        <v>7800</v>
      </c>
      <c r="B71" s="5"/>
    </row>
    <row r="72" ht="15" spans="1:2">
      <c r="A72" s="3"/>
      <c r="B72" s="5"/>
    </row>
    <row r="73" ht="15" spans="1:2">
      <c r="A73" s="3"/>
      <c r="B73" s="5"/>
    </row>
    <row r="74" ht="15" spans="1:2">
      <c r="A74" s="3">
        <v>7800</v>
      </c>
      <c r="B74" s="5"/>
    </row>
    <row r="75" ht="15" spans="1:2">
      <c r="A75" s="3">
        <v>7800</v>
      </c>
      <c r="B75" s="5"/>
    </row>
    <row r="76" ht="15" spans="1:2">
      <c r="A76" s="3"/>
      <c r="B76" s="5"/>
    </row>
    <row r="77" ht="15" spans="1:2">
      <c r="A77" s="3">
        <v>5600</v>
      </c>
      <c r="B77" s="5"/>
    </row>
    <row r="78" ht="15" spans="1:2">
      <c r="A78" s="3">
        <v>5600</v>
      </c>
      <c r="B78" s="5"/>
    </row>
    <row r="79" ht="15" spans="1:2">
      <c r="A79" s="3"/>
      <c r="B79" s="5"/>
    </row>
    <row r="80" ht="15" spans="1:2">
      <c r="A80" s="3">
        <v>5600</v>
      </c>
      <c r="B80" s="5"/>
    </row>
    <row r="81" ht="15" spans="1:2">
      <c r="A81" s="3"/>
      <c r="B81" s="5"/>
    </row>
    <row r="82" ht="15" spans="1:2">
      <c r="A82" s="3">
        <v>5600</v>
      </c>
      <c r="B82" s="5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1" sqref="A1"/>
    </sheetView>
  </sheetViews>
  <sheetFormatPr defaultColWidth="9.14285714285714" defaultRowHeight="12.75"/>
  <cols>
    <col min="1" max="1" width="20.5714285714286" customWidth="1"/>
  </cols>
  <sheetData>
    <row r="1" spans="1:1">
      <c r="A1" s="1" t="s">
        <v>309</v>
      </c>
    </row>
    <row r="2" ht="15" spans="1:1">
      <c r="A2" s="2" t="s">
        <v>163</v>
      </c>
    </row>
    <row r="3" ht="15" spans="1:1">
      <c r="A3" s="3" t="s">
        <v>164</v>
      </c>
    </row>
    <row r="4" ht="15" spans="1:1">
      <c r="A4" s="3" t="s">
        <v>165</v>
      </c>
    </row>
    <row r="5" ht="15" spans="1:1">
      <c r="A5" s="3" t="s">
        <v>166</v>
      </c>
    </row>
    <row r="6" ht="15" spans="1:1">
      <c r="A6" s="3" t="s">
        <v>167</v>
      </c>
    </row>
    <row r="7" ht="15" spans="1:1">
      <c r="A7" s="3" t="s">
        <v>168</v>
      </c>
    </row>
    <row r="8" ht="15" spans="1:1">
      <c r="A8" s="3" t="s">
        <v>169</v>
      </c>
    </row>
    <row r="9" ht="15" spans="1:1">
      <c r="A9" s="3" t="s">
        <v>170</v>
      </c>
    </row>
    <row r="10" ht="15" spans="1:1">
      <c r="A10" s="3" t="s">
        <v>310</v>
      </c>
    </row>
    <row r="11" ht="15" spans="1:1">
      <c r="A11" s="3" t="s">
        <v>172</v>
      </c>
    </row>
    <row r="12" ht="15" spans="1:1">
      <c r="A12" s="3" t="s">
        <v>173</v>
      </c>
    </row>
    <row r="13" ht="15" spans="1:1">
      <c r="A13" s="3" t="s">
        <v>174</v>
      </c>
    </row>
    <row r="14" ht="15" spans="1:1">
      <c r="A14" s="3" t="s">
        <v>175</v>
      </c>
    </row>
    <row r="15" ht="15" spans="1:1">
      <c r="A15" s="3" t="s">
        <v>176</v>
      </c>
    </row>
    <row r="16" ht="15" spans="1:1">
      <c r="A16" s="3" t="s">
        <v>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Sheet5</vt:lpstr>
      <vt:lpstr>Function</vt:lpstr>
      <vt:lpstr>Sort</vt:lpstr>
      <vt:lpstr>Replace</vt:lpstr>
      <vt:lpstr>Concatenate</vt:lpstr>
      <vt:lpstr>Sum &amp; Average</vt:lpstr>
      <vt:lpstr>Insert Row &amp; Delete Column</vt:lpstr>
      <vt:lpstr>Trim &amp; Length</vt:lpstr>
      <vt:lpstr>Left &amp; Right</vt:lpstr>
      <vt:lpstr>Count</vt:lpstr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8325</cp:lastModifiedBy>
  <cp:revision>1</cp:revision>
  <dcterms:created xsi:type="dcterms:W3CDTF">1996-10-14T23:33:00Z</dcterms:created>
  <dcterms:modified xsi:type="dcterms:W3CDTF">2026-03-24T07:41:19Z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EF88CD1B902544339A542FF77D3757CA_13</vt:lpwstr>
  </property>
</Properties>
</file>